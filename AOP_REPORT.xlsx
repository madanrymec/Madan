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39" i="1"/>
  <c r="H39"/>
  <c r="M39" s="1"/>
  <c r="L38"/>
  <c r="K38"/>
  <c r="J38"/>
  <c r="I38"/>
  <c r="G38"/>
  <c r="F38"/>
  <c r="E38"/>
  <c r="C38"/>
  <c r="M37"/>
  <c r="L37"/>
  <c r="H37"/>
  <c r="D37" s="1"/>
  <c r="M36"/>
  <c r="L36"/>
  <c r="H36"/>
  <c r="D36" s="1"/>
  <c r="M35"/>
  <c r="M38" s="1"/>
  <c r="L35"/>
  <c r="H35"/>
  <c r="D35" s="1"/>
  <c r="D38" s="1"/>
  <c r="M34"/>
  <c r="L34"/>
  <c r="H34"/>
  <c r="D34" s="1"/>
  <c r="M33"/>
  <c r="L33"/>
  <c r="H33"/>
  <c r="D33" s="1"/>
  <c r="M32"/>
  <c r="L32"/>
  <c r="H32"/>
  <c r="D32" s="1"/>
  <c r="K31"/>
  <c r="J31"/>
  <c r="I31"/>
  <c r="G31"/>
  <c r="F31"/>
  <c r="E31"/>
  <c r="C31"/>
  <c r="C39" s="1"/>
  <c r="L30"/>
  <c r="M30" s="1"/>
  <c r="H30"/>
  <c r="L29"/>
  <c r="M29" s="1"/>
  <c r="M31" s="1"/>
  <c r="H29"/>
  <c r="H31" s="1"/>
  <c r="L28"/>
  <c r="M28" s="1"/>
  <c r="H28"/>
  <c r="L27"/>
  <c r="K27"/>
  <c r="J27"/>
  <c r="I27"/>
  <c r="G27"/>
  <c r="F27"/>
  <c r="E27"/>
  <c r="C27"/>
  <c r="L26"/>
  <c r="H26"/>
  <c r="M26" s="1"/>
  <c r="L25"/>
  <c r="H25"/>
  <c r="M25" s="1"/>
  <c r="L24"/>
  <c r="H24"/>
  <c r="M24" s="1"/>
  <c r="L23"/>
  <c r="H23"/>
  <c r="M23" s="1"/>
  <c r="CD19"/>
  <c r="CC19"/>
  <c r="CB19"/>
  <c r="BZ19"/>
  <c r="BY19"/>
  <c r="BX19"/>
  <c r="BU19"/>
  <c r="BT19"/>
  <c r="BS19"/>
  <c r="BQ19"/>
  <c r="BP19"/>
  <c r="BO19"/>
  <c r="BL19"/>
  <c r="BK19"/>
  <c r="BJ19"/>
  <c r="BM19" s="1"/>
  <c r="BH19"/>
  <c r="BG19"/>
  <c r="BF19"/>
  <c r="BC19"/>
  <c r="BB19"/>
  <c r="BA19"/>
  <c r="AY19"/>
  <c r="AX19"/>
  <c r="AW19"/>
  <c r="AT19"/>
  <c r="AS19"/>
  <c r="AR19"/>
  <c r="AP19"/>
  <c r="AO19"/>
  <c r="AN19"/>
  <c r="AL19"/>
  <c r="AK19"/>
  <c r="AJ19"/>
  <c r="AI19"/>
  <c r="AH19"/>
  <c r="AM19" s="1"/>
  <c r="AG19"/>
  <c r="AF19"/>
  <c r="AE19"/>
  <c r="AB19"/>
  <c r="AA19"/>
  <c r="Z19"/>
  <c r="AC19" s="1"/>
  <c r="X19"/>
  <c r="W19"/>
  <c r="V19"/>
  <c r="S19"/>
  <c r="R19"/>
  <c r="Q19"/>
  <c r="O19"/>
  <c r="N19"/>
  <c r="M19"/>
  <c r="J19"/>
  <c r="I19"/>
  <c r="H19"/>
  <c r="K19" s="1"/>
  <c r="F19"/>
  <c r="E19"/>
  <c r="D19"/>
  <c r="G19" s="1"/>
  <c r="B19"/>
  <c r="CE18"/>
  <c r="CA18"/>
  <c r="CF18" s="1"/>
  <c r="BW18"/>
  <c r="BV18"/>
  <c r="BR18"/>
  <c r="BM18"/>
  <c r="BN18" s="1"/>
  <c r="BI18"/>
  <c r="BD18"/>
  <c r="AZ18"/>
  <c r="BE18" s="1"/>
  <c r="AU18"/>
  <c r="AQ18"/>
  <c r="AV18" s="1"/>
  <c r="AM18"/>
  <c r="AL18"/>
  <c r="AH18"/>
  <c r="AC18"/>
  <c r="AD18" s="1"/>
  <c r="Y18"/>
  <c r="T18"/>
  <c r="P18"/>
  <c r="U18" s="1"/>
  <c r="K18"/>
  <c r="G18"/>
  <c r="L18" s="1"/>
  <c r="C18" s="1"/>
  <c r="CE17"/>
  <c r="CA17"/>
  <c r="CF17" s="1"/>
  <c r="BW17"/>
  <c r="BV17"/>
  <c r="BR17"/>
  <c r="BM17"/>
  <c r="BN17" s="1"/>
  <c r="BI17"/>
  <c r="BD17"/>
  <c r="AZ17"/>
  <c r="BE17" s="1"/>
  <c r="AU17"/>
  <c r="AQ17"/>
  <c r="AV17" s="1"/>
  <c r="AM17"/>
  <c r="AL17"/>
  <c r="AH17"/>
  <c r="AC17"/>
  <c r="AD17" s="1"/>
  <c r="Y17"/>
  <c r="T17"/>
  <c r="P17"/>
  <c r="U17" s="1"/>
  <c r="K17"/>
  <c r="G17"/>
  <c r="L17" s="1"/>
  <c r="C17" s="1"/>
  <c r="CE16"/>
  <c r="CA16"/>
  <c r="CF16" s="1"/>
  <c r="BW16"/>
  <c r="BV16"/>
  <c r="BR16"/>
  <c r="BM16"/>
  <c r="BN16" s="1"/>
  <c r="BI16"/>
  <c r="BD16"/>
  <c r="AZ16"/>
  <c r="BE16" s="1"/>
  <c r="AU16"/>
  <c r="AQ16"/>
  <c r="AV16" s="1"/>
  <c r="AM16"/>
  <c r="AL16"/>
  <c r="AH16"/>
  <c r="AC16"/>
  <c r="AD16" s="1"/>
  <c r="Y16"/>
  <c r="T16"/>
  <c r="P16"/>
  <c r="U16" s="1"/>
  <c r="K16"/>
  <c r="G16"/>
  <c r="L16" s="1"/>
  <c r="C16" s="1"/>
  <c r="CE15"/>
  <c r="CA15"/>
  <c r="CF15" s="1"/>
  <c r="BW15"/>
  <c r="BV15"/>
  <c r="BR15"/>
  <c r="BM15"/>
  <c r="BN15" s="1"/>
  <c r="BI15"/>
  <c r="BD15"/>
  <c r="AZ15"/>
  <c r="BE15" s="1"/>
  <c r="AU15"/>
  <c r="AQ15"/>
  <c r="AV15" s="1"/>
  <c r="AM15"/>
  <c r="AL15"/>
  <c r="AH15"/>
  <c r="AC15"/>
  <c r="AD15" s="1"/>
  <c r="Y15"/>
  <c r="T15"/>
  <c r="P15"/>
  <c r="U15" s="1"/>
  <c r="K15"/>
  <c r="G15"/>
  <c r="L15" s="1"/>
  <c r="C15" s="1"/>
  <c r="CE14"/>
  <c r="CA14"/>
  <c r="CF14" s="1"/>
  <c r="BW14"/>
  <c r="BV14"/>
  <c r="BR14"/>
  <c r="BM14"/>
  <c r="BN14" s="1"/>
  <c r="BI14"/>
  <c r="BD14"/>
  <c r="AZ14"/>
  <c r="BE14" s="1"/>
  <c r="AU14"/>
  <c r="AQ14"/>
  <c r="AV14" s="1"/>
  <c r="AM14"/>
  <c r="AL14"/>
  <c r="AH14"/>
  <c r="AC14"/>
  <c r="AD14" s="1"/>
  <c r="Y14"/>
  <c r="T14"/>
  <c r="P14"/>
  <c r="U14" s="1"/>
  <c r="K14"/>
  <c r="G14"/>
  <c r="L14" s="1"/>
  <c r="C14" s="1"/>
  <c r="CE13"/>
  <c r="CA13"/>
  <c r="CF13" s="1"/>
  <c r="BW13"/>
  <c r="BV13"/>
  <c r="BR13"/>
  <c r="BM13"/>
  <c r="BN13" s="1"/>
  <c r="BI13"/>
  <c r="BD13"/>
  <c r="AZ13"/>
  <c r="BE13" s="1"/>
  <c r="AU13"/>
  <c r="AQ13"/>
  <c r="AV13" s="1"/>
  <c r="AM13"/>
  <c r="AL13"/>
  <c r="AH13"/>
  <c r="AC13"/>
  <c r="AD13" s="1"/>
  <c r="Y13"/>
  <c r="T13"/>
  <c r="P13"/>
  <c r="U13" s="1"/>
  <c r="K13"/>
  <c r="G13"/>
  <c r="L13" s="1"/>
  <c r="C13" s="1"/>
  <c r="CE12"/>
  <c r="CA12"/>
  <c r="CF12" s="1"/>
  <c r="BW12"/>
  <c r="BV12"/>
  <c r="BR12"/>
  <c r="BM12"/>
  <c r="BN12" s="1"/>
  <c r="BI12"/>
  <c r="BD12"/>
  <c r="AZ12"/>
  <c r="BE12" s="1"/>
  <c r="AU12"/>
  <c r="AQ12"/>
  <c r="AV12" s="1"/>
  <c r="AL12"/>
  <c r="AH12"/>
  <c r="AM12" s="1"/>
  <c r="AC12"/>
  <c r="AD12" s="1"/>
  <c r="Y12"/>
  <c r="T12"/>
  <c r="P12"/>
  <c r="U12" s="1"/>
  <c r="K12"/>
  <c r="G12"/>
  <c r="L12" s="1"/>
  <c r="CE11"/>
  <c r="CA11"/>
  <c r="CF11" s="1"/>
  <c r="BV11"/>
  <c r="BR11"/>
  <c r="BW11" s="1"/>
  <c r="BM11"/>
  <c r="BN11" s="1"/>
  <c r="BI11"/>
  <c r="BE11"/>
  <c r="BD11"/>
  <c r="AZ11"/>
  <c r="AU11"/>
  <c r="AQ11"/>
  <c r="AV11" s="1"/>
  <c r="AL11"/>
  <c r="AH11"/>
  <c r="AM11" s="1"/>
  <c r="AC11"/>
  <c r="AD11" s="1"/>
  <c r="Y11"/>
  <c r="U11"/>
  <c r="T11"/>
  <c r="P11"/>
  <c r="K11"/>
  <c r="G11"/>
  <c r="L11" s="1"/>
  <c r="CE10"/>
  <c r="CA10"/>
  <c r="CF10" s="1"/>
  <c r="BV10"/>
  <c r="BR10"/>
  <c r="BW10" s="1"/>
  <c r="BM10"/>
  <c r="BN10" s="1"/>
  <c r="BI10"/>
  <c r="BE10"/>
  <c r="BD10"/>
  <c r="AZ10"/>
  <c r="AU10"/>
  <c r="AQ10"/>
  <c r="AV10" s="1"/>
  <c r="AL10"/>
  <c r="AH10"/>
  <c r="AM10" s="1"/>
  <c r="AC10"/>
  <c r="AD10" s="1"/>
  <c r="Y10"/>
  <c r="U10"/>
  <c r="T10"/>
  <c r="P10"/>
  <c r="K10"/>
  <c r="G10"/>
  <c r="L10" s="1"/>
  <c r="CE9"/>
  <c r="CA9"/>
  <c r="CF9" s="1"/>
  <c r="BV9"/>
  <c r="BR9"/>
  <c r="BW9" s="1"/>
  <c r="BM9"/>
  <c r="BN9" s="1"/>
  <c r="BI9"/>
  <c r="BE9"/>
  <c r="BD9"/>
  <c r="AZ9"/>
  <c r="AU9"/>
  <c r="AQ9"/>
  <c r="AV9" s="1"/>
  <c r="AL9"/>
  <c r="AH9"/>
  <c r="AM9" s="1"/>
  <c r="AC9"/>
  <c r="AD9" s="1"/>
  <c r="Y9"/>
  <c r="U9"/>
  <c r="T9"/>
  <c r="P9"/>
  <c r="K9"/>
  <c r="G9"/>
  <c r="L9" s="1"/>
  <c r="CE8"/>
  <c r="CA8"/>
  <c r="CF8" s="1"/>
  <c r="BV8"/>
  <c r="BR8"/>
  <c r="BW8" s="1"/>
  <c r="BM8"/>
  <c r="BN8" s="1"/>
  <c r="BI8"/>
  <c r="BE8"/>
  <c r="BD8"/>
  <c r="AZ8"/>
  <c r="AU8"/>
  <c r="AQ8"/>
  <c r="AV8" s="1"/>
  <c r="AL8"/>
  <c r="AH8"/>
  <c r="AM8" s="1"/>
  <c r="AC8"/>
  <c r="AD8" s="1"/>
  <c r="Y8"/>
  <c r="U8"/>
  <c r="T8"/>
  <c r="P8"/>
  <c r="K8"/>
  <c r="G8"/>
  <c r="L8" s="1"/>
  <c r="CE7"/>
  <c r="CA7"/>
  <c r="CF7" s="1"/>
  <c r="BV7"/>
  <c r="BR7"/>
  <c r="BW7" s="1"/>
  <c r="BM7"/>
  <c r="BN7" s="1"/>
  <c r="BI7"/>
  <c r="BE7"/>
  <c r="BD7"/>
  <c r="AZ7"/>
  <c r="AU7"/>
  <c r="AQ7"/>
  <c r="AV7" s="1"/>
  <c r="AL7"/>
  <c r="AH7"/>
  <c r="AM7" s="1"/>
  <c r="AC7"/>
  <c r="AD7" s="1"/>
  <c r="Y7"/>
  <c r="U7"/>
  <c r="T7"/>
  <c r="P7"/>
  <c r="K7"/>
  <c r="G7"/>
  <c r="L7" s="1"/>
  <c r="CE6"/>
  <c r="CA6"/>
  <c r="CF6" s="1"/>
  <c r="BV6"/>
  <c r="BR6"/>
  <c r="BW6" s="1"/>
  <c r="BM6"/>
  <c r="BN6" s="1"/>
  <c r="BI6"/>
  <c r="BE6"/>
  <c r="BD6"/>
  <c r="AZ6"/>
  <c r="AU6"/>
  <c r="AQ6"/>
  <c r="AV6" s="1"/>
  <c r="AL6"/>
  <c r="AH6"/>
  <c r="AM6" s="1"/>
  <c r="AC6"/>
  <c r="AD6" s="1"/>
  <c r="Y6"/>
  <c r="U6"/>
  <c r="T6"/>
  <c r="P6"/>
  <c r="K6"/>
  <c r="G6"/>
  <c r="L6" s="1"/>
  <c r="CE5"/>
  <c r="CE19" s="1"/>
  <c r="CA5"/>
  <c r="CA19" s="1"/>
  <c r="BV5"/>
  <c r="BV19" s="1"/>
  <c r="BR5"/>
  <c r="BW5" s="1"/>
  <c r="BW19" s="1"/>
  <c r="BM5"/>
  <c r="BN5" s="1"/>
  <c r="BI5"/>
  <c r="BI19" s="1"/>
  <c r="BN19" s="1"/>
  <c r="BE5"/>
  <c r="BD5"/>
  <c r="BD19" s="1"/>
  <c r="AZ5"/>
  <c r="AZ19" s="1"/>
  <c r="AU5"/>
  <c r="AU19" s="1"/>
  <c r="AQ5"/>
  <c r="AQ19" s="1"/>
  <c r="AL5"/>
  <c r="AH5"/>
  <c r="AM5" s="1"/>
  <c r="AD5"/>
  <c r="AC5"/>
  <c r="Y5"/>
  <c r="Y19" s="1"/>
  <c r="U5"/>
  <c r="U19" s="1"/>
  <c r="T5"/>
  <c r="T19" s="1"/>
  <c r="P5"/>
  <c r="P19" s="1"/>
  <c r="K5"/>
  <c r="G5"/>
  <c r="L5" s="1"/>
  <c r="AV19" l="1"/>
  <c r="BE19"/>
  <c r="AD19"/>
  <c r="C6"/>
  <c r="C7"/>
  <c r="C8"/>
  <c r="C9"/>
  <c r="C10"/>
  <c r="C11"/>
  <c r="C12"/>
  <c r="L19"/>
  <c r="M27"/>
  <c r="BR19"/>
  <c r="H27"/>
  <c r="AV5"/>
  <c r="C5" s="1"/>
  <c r="C19" s="1"/>
  <c r="CF5"/>
  <c r="CF19" s="1"/>
  <c r="D23"/>
  <c r="D27" s="1"/>
  <c r="D39" s="1"/>
  <c r="D24"/>
  <c r="D25"/>
  <c r="D26"/>
  <c r="L31"/>
  <c r="D28"/>
  <c r="D29"/>
  <c r="D31" s="1"/>
  <c r="D30"/>
  <c r="H38"/>
</calcChain>
</file>

<file path=xl/sharedStrings.xml><?xml version="1.0" encoding="utf-8"?>
<sst xmlns="http://schemas.openxmlformats.org/spreadsheetml/2006/main" count="147" uniqueCount="54">
  <si>
    <t>ORDER BOOK for Apr-Sep'26</t>
  </si>
  <si>
    <t>All Values in ₹ Lacs</t>
  </si>
  <si>
    <t>Sales Office</t>
  </si>
  <si>
    <t>AOP</t>
  </si>
  <si>
    <t>Achieved</t>
  </si>
  <si>
    <t>LV Motors (Non-Std)</t>
  </si>
  <si>
    <t>LV Motors (Std)</t>
  </si>
  <si>
    <t>LV Generators</t>
  </si>
  <si>
    <t>EVM</t>
  </si>
  <si>
    <t>HVM,DCM,RRM,HVG</t>
  </si>
  <si>
    <t>Transformer (Pune)</t>
  </si>
  <si>
    <t>DG Sets</t>
  </si>
  <si>
    <t>Transformer (Mysore)</t>
  </si>
  <si>
    <t>SPARES &amp; SERVICE</t>
  </si>
  <si>
    <t>Apr'26</t>
  </si>
  <si>
    <t>May'26</t>
  </si>
  <si>
    <t>Jun'26</t>
  </si>
  <si>
    <t>Total-Q1</t>
  </si>
  <si>
    <t>Jul'26</t>
  </si>
  <si>
    <t>Aug'26</t>
  </si>
  <si>
    <t>Sep'26</t>
  </si>
  <si>
    <t>Total-Q2</t>
  </si>
  <si>
    <t>Total</t>
  </si>
  <si>
    <t>Ahmedabad</t>
  </si>
  <si>
    <t>Bangalore</t>
  </si>
  <si>
    <t>Chennai</t>
  </si>
  <si>
    <t>Cochin</t>
  </si>
  <si>
    <t>Coimbatore</t>
  </si>
  <si>
    <t>Faridabad</t>
  </si>
  <si>
    <t>Hyderabad</t>
  </si>
  <si>
    <t>Inter.Marketing</t>
  </si>
  <si>
    <t>Kolkata</t>
  </si>
  <si>
    <t>Ludhiana</t>
  </si>
  <si>
    <t>Mumbai</t>
  </si>
  <si>
    <t>Nagpur</t>
  </si>
  <si>
    <t>Pune</t>
  </si>
  <si>
    <t>Raipur</t>
  </si>
  <si>
    <t>Grand Total</t>
  </si>
  <si>
    <t>Unit</t>
  </si>
  <si>
    <t>Products</t>
  </si>
  <si>
    <t>Unit-01</t>
  </si>
  <si>
    <t>DC Machines</t>
  </si>
  <si>
    <t>HV Generators</t>
  </si>
  <si>
    <t>HV Motors</t>
  </si>
  <si>
    <t>RRM</t>
  </si>
  <si>
    <t>Unit-02</t>
  </si>
  <si>
    <t>Unit-05</t>
  </si>
  <si>
    <t>Switchgear</t>
  </si>
  <si>
    <t>Transformer Mysore</t>
  </si>
  <si>
    <t>Unit-06</t>
  </si>
  <si>
    <t>Unit-16</t>
  </si>
  <si>
    <t>Transformer Pune</t>
  </si>
  <si>
    <t>Unit-20</t>
  </si>
  <si>
    <t>Unit-25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</si>
</sst>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8" xfId="0" applyBorder="1"/>
    <xf numFmtId="1" fontId="0" fillId="0" borderId="8" xfId="0" applyNumberFormat="1" applyBorder="1"/>
    <xf numFmtId="1" fontId="0" fillId="2" borderId="8" xfId="0" applyNumberFormat="1" applyFill="1" applyBorder="1"/>
    <xf numFmtId="1" fontId="0" fillId="3" borderId="8" xfId="0" applyNumberFormat="1" applyFill="1" applyBorder="1"/>
    <xf numFmtId="0" fontId="0" fillId="2" borderId="8" xfId="0" applyFill="1" applyBorder="1"/>
    <xf numFmtId="0" fontId="0" fillId="3" borderId="8" xfId="0" applyFill="1" applyBorder="1"/>
    <xf numFmtId="0" fontId="4" fillId="0" borderId="8" xfId="0" applyFont="1" applyBorder="1"/>
    <xf numFmtId="1" fontId="4" fillId="0" borderId="8" xfId="0" applyNumberFormat="1" applyFont="1" applyBorder="1"/>
    <xf numFmtId="1" fontId="4" fillId="2" borderId="8" xfId="0" applyNumberFormat="1" applyFont="1" applyFill="1" applyBorder="1"/>
    <xf numFmtId="1" fontId="4" fillId="3" borderId="8" xfId="0" applyNumberFormat="1" applyFont="1" applyFill="1" applyBorder="1"/>
    <xf numFmtId="0" fontId="1" fillId="0" borderId="8" xfId="0" applyFont="1" applyBorder="1"/>
    <xf numFmtId="0" fontId="1" fillId="2" borderId="8" xfId="0" applyFont="1" applyFill="1" applyBorder="1"/>
    <xf numFmtId="0" fontId="1" fillId="3" borderId="8" xfId="0" applyFont="1" applyFill="1" applyBorder="1"/>
    <xf numFmtId="0" fontId="0" fillId="0" borderId="8" xfId="0" applyBorder="1" applyAlignment="1">
      <alignment horizontal="left" vertical="center"/>
    </xf>
    <xf numFmtId="1" fontId="1" fillId="2" borderId="8" xfId="0" applyNumberFormat="1" applyFont="1" applyFill="1" applyBorder="1"/>
    <xf numFmtId="1" fontId="1" fillId="3" borderId="8" xfId="0" applyNumberFormat="1" applyFont="1" applyFill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39"/>
  <sheetViews>
    <sheetView tabSelected="1" workbookViewId="0">
      <selection activeCell="G4" sqref="G4"/>
    </sheetView>
  </sheetViews>
  <sheetFormatPr defaultRowHeight="15"/>
  <cols>
    <col min="1" max="1" width="15" bestFit="1" customWidth="1"/>
    <col min="2" max="2" width="19.28515625" bestFit="1" customWidth="1"/>
  </cols>
  <sheetData>
    <row r="1" spans="1:84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3"/>
    </row>
    <row r="2" spans="1:8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6"/>
    </row>
    <row r="3" spans="1:84">
      <c r="A3" s="7" t="s">
        <v>2</v>
      </c>
      <c r="B3" s="7" t="s">
        <v>3</v>
      </c>
      <c r="C3" s="7" t="s">
        <v>4</v>
      </c>
      <c r="D3" s="8" t="s">
        <v>5</v>
      </c>
      <c r="E3" s="8"/>
      <c r="F3" s="8"/>
      <c r="G3" s="8"/>
      <c r="H3" s="8"/>
      <c r="I3" s="8"/>
      <c r="J3" s="8"/>
      <c r="K3" s="8"/>
      <c r="L3" s="8"/>
      <c r="M3" s="8" t="s">
        <v>6</v>
      </c>
      <c r="N3" s="8"/>
      <c r="O3" s="8"/>
      <c r="P3" s="8"/>
      <c r="Q3" s="8"/>
      <c r="R3" s="8"/>
      <c r="S3" s="8"/>
      <c r="T3" s="8"/>
      <c r="U3" s="8"/>
      <c r="V3" s="8" t="s">
        <v>7</v>
      </c>
      <c r="W3" s="8"/>
      <c r="X3" s="8"/>
      <c r="Y3" s="8"/>
      <c r="Z3" s="8"/>
      <c r="AA3" s="8"/>
      <c r="AB3" s="8"/>
      <c r="AC3" s="8"/>
      <c r="AD3" s="8"/>
      <c r="AE3" s="8" t="s">
        <v>8</v>
      </c>
      <c r="AF3" s="8"/>
      <c r="AG3" s="8"/>
      <c r="AH3" s="8"/>
      <c r="AI3" s="8"/>
      <c r="AJ3" s="8"/>
      <c r="AK3" s="8"/>
      <c r="AL3" s="8"/>
      <c r="AM3" s="8"/>
      <c r="AN3" s="8" t="s">
        <v>9</v>
      </c>
      <c r="AO3" s="8"/>
      <c r="AP3" s="8"/>
      <c r="AQ3" s="8"/>
      <c r="AR3" s="8"/>
      <c r="AS3" s="8"/>
      <c r="AT3" s="8"/>
      <c r="AU3" s="8"/>
      <c r="AV3" s="8"/>
      <c r="AW3" s="8" t="s">
        <v>10</v>
      </c>
      <c r="AX3" s="8"/>
      <c r="AY3" s="8"/>
      <c r="AZ3" s="8"/>
      <c r="BA3" s="8"/>
      <c r="BB3" s="8"/>
      <c r="BC3" s="8"/>
      <c r="BD3" s="8"/>
      <c r="BE3" s="8"/>
      <c r="BF3" s="8" t="s">
        <v>11</v>
      </c>
      <c r="BG3" s="8"/>
      <c r="BH3" s="8"/>
      <c r="BI3" s="8"/>
      <c r="BJ3" s="8"/>
      <c r="BK3" s="8"/>
      <c r="BL3" s="8"/>
      <c r="BM3" s="8"/>
      <c r="BN3" s="8"/>
      <c r="BO3" s="8" t="s">
        <v>12</v>
      </c>
      <c r="BP3" s="8"/>
      <c r="BQ3" s="8"/>
      <c r="BR3" s="8"/>
      <c r="BS3" s="8"/>
      <c r="BT3" s="8"/>
      <c r="BU3" s="8"/>
      <c r="BV3" s="8"/>
      <c r="BW3" s="8"/>
      <c r="BX3" s="8" t="s">
        <v>13</v>
      </c>
      <c r="BY3" s="8"/>
      <c r="BZ3" s="8"/>
      <c r="CA3" s="8"/>
      <c r="CB3" s="8"/>
      <c r="CC3" s="8"/>
      <c r="CD3" s="8"/>
      <c r="CE3" s="8"/>
      <c r="CF3" s="8"/>
    </row>
    <row r="4" spans="1:84">
      <c r="A4" s="9"/>
      <c r="B4" s="9"/>
      <c r="C4" s="9"/>
      <c r="D4" s="10" t="s">
        <v>14</v>
      </c>
      <c r="E4" s="10" t="s">
        <v>15</v>
      </c>
      <c r="F4" s="10" t="s">
        <v>16</v>
      </c>
      <c r="G4" s="11" t="s">
        <v>17</v>
      </c>
      <c r="H4" s="10" t="s">
        <v>18</v>
      </c>
      <c r="I4" s="10" t="s">
        <v>19</v>
      </c>
      <c r="J4" s="10" t="s">
        <v>20</v>
      </c>
      <c r="K4" s="11" t="s">
        <v>21</v>
      </c>
      <c r="L4" s="12" t="s">
        <v>22</v>
      </c>
      <c r="M4" s="10" t="s">
        <v>14</v>
      </c>
      <c r="N4" s="10" t="s">
        <v>15</v>
      </c>
      <c r="O4" s="10" t="s">
        <v>16</v>
      </c>
      <c r="P4" s="11" t="s">
        <v>17</v>
      </c>
      <c r="Q4" s="10" t="s">
        <v>18</v>
      </c>
      <c r="R4" s="10" t="s">
        <v>19</v>
      </c>
      <c r="S4" s="10" t="s">
        <v>20</v>
      </c>
      <c r="T4" s="11" t="s">
        <v>21</v>
      </c>
      <c r="U4" s="12" t="s">
        <v>22</v>
      </c>
      <c r="V4" s="10" t="s">
        <v>14</v>
      </c>
      <c r="W4" s="10" t="s">
        <v>15</v>
      </c>
      <c r="X4" s="10" t="s">
        <v>16</v>
      </c>
      <c r="Y4" s="11" t="s">
        <v>17</v>
      </c>
      <c r="Z4" s="10" t="s">
        <v>18</v>
      </c>
      <c r="AA4" s="10" t="s">
        <v>19</v>
      </c>
      <c r="AB4" s="10" t="s">
        <v>20</v>
      </c>
      <c r="AC4" s="11" t="s">
        <v>21</v>
      </c>
      <c r="AD4" s="12" t="s">
        <v>22</v>
      </c>
      <c r="AE4" s="10" t="s">
        <v>14</v>
      </c>
      <c r="AF4" s="10" t="s">
        <v>15</v>
      </c>
      <c r="AG4" s="10" t="s">
        <v>16</v>
      </c>
      <c r="AH4" s="11" t="s">
        <v>17</v>
      </c>
      <c r="AI4" s="10" t="s">
        <v>18</v>
      </c>
      <c r="AJ4" s="10" t="s">
        <v>19</v>
      </c>
      <c r="AK4" s="10" t="s">
        <v>20</v>
      </c>
      <c r="AL4" s="11" t="s">
        <v>21</v>
      </c>
      <c r="AM4" s="12" t="s">
        <v>22</v>
      </c>
      <c r="AN4" s="10" t="s">
        <v>14</v>
      </c>
      <c r="AO4" s="10" t="s">
        <v>15</v>
      </c>
      <c r="AP4" s="10" t="s">
        <v>16</v>
      </c>
      <c r="AQ4" s="11" t="s">
        <v>17</v>
      </c>
      <c r="AR4" s="10" t="s">
        <v>18</v>
      </c>
      <c r="AS4" s="10" t="s">
        <v>19</v>
      </c>
      <c r="AT4" s="10" t="s">
        <v>20</v>
      </c>
      <c r="AU4" s="11" t="s">
        <v>21</v>
      </c>
      <c r="AV4" s="12" t="s">
        <v>22</v>
      </c>
      <c r="AW4" s="10" t="s">
        <v>14</v>
      </c>
      <c r="AX4" s="10" t="s">
        <v>15</v>
      </c>
      <c r="AY4" s="10" t="s">
        <v>16</v>
      </c>
      <c r="AZ4" s="11" t="s">
        <v>17</v>
      </c>
      <c r="BA4" s="10" t="s">
        <v>18</v>
      </c>
      <c r="BB4" s="10" t="s">
        <v>19</v>
      </c>
      <c r="BC4" s="10" t="s">
        <v>20</v>
      </c>
      <c r="BD4" s="11" t="s">
        <v>21</v>
      </c>
      <c r="BE4" s="12" t="s">
        <v>22</v>
      </c>
      <c r="BF4" s="10" t="s">
        <v>14</v>
      </c>
      <c r="BG4" s="10" t="s">
        <v>15</v>
      </c>
      <c r="BH4" s="10" t="s">
        <v>16</v>
      </c>
      <c r="BI4" s="11" t="s">
        <v>17</v>
      </c>
      <c r="BJ4" s="10" t="s">
        <v>18</v>
      </c>
      <c r="BK4" s="10" t="s">
        <v>19</v>
      </c>
      <c r="BL4" s="10" t="s">
        <v>20</v>
      </c>
      <c r="BM4" s="11" t="s">
        <v>21</v>
      </c>
      <c r="BN4" s="12" t="s">
        <v>22</v>
      </c>
      <c r="BO4" s="10" t="s">
        <v>14</v>
      </c>
      <c r="BP4" s="10" t="s">
        <v>15</v>
      </c>
      <c r="BQ4" s="10" t="s">
        <v>16</v>
      </c>
      <c r="BR4" s="11" t="s">
        <v>17</v>
      </c>
      <c r="BS4" s="10" t="s">
        <v>18</v>
      </c>
      <c r="BT4" s="10" t="s">
        <v>19</v>
      </c>
      <c r="BU4" s="10" t="s">
        <v>20</v>
      </c>
      <c r="BV4" s="11" t="s">
        <v>21</v>
      </c>
      <c r="BW4" s="12" t="s">
        <v>22</v>
      </c>
      <c r="BX4" s="10" t="s">
        <v>14</v>
      </c>
      <c r="BY4" s="10" t="s">
        <v>15</v>
      </c>
      <c r="BZ4" s="10" t="s">
        <v>16</v>
      </c>
      <c r="CA4" s="11" t="s">
        <v>17</v>
      </c>
      <c r="CB4" s="10" t="s">
        <v>18</v>
      </c>
      <c r="CC4" s="10" t="s">
        <v>19</v>
      </c>
      <c r="CD4" s="10" t="s">
        <v>20</v>
      </c>
      <c r="CE4" s="11" t="s">
        <v>21</v>
      </c>
      <c r="CF4" s="12" t="s">
        <v>22</v>
      </c>
    </row>
    <row r="5" spans="1:84">
      <c r="A5" s="13" t="s">
        <v>23</v>
      </c>
      <c r="B5" s="13">
        <v>2870</v>
      </c>
      <c r="C5" s="14">
        <f>L5+U5+AD5+AM5+AV5+BE5+BN5+BW5+CF5</f>
        <v>1154.28</v>
      </c>
      <c r="D5" s="13">
        <v>0</v>
      </c>
      <c r="E5" s="14">
        <v>1.9900000000000002</v>
      </c>
      <c r="F5" s="14">
        <v>2.08</v>
      </c>
      <c r="G5" s="15">
        <f>SUM(D5:F5)</f>
        <v>4.07</v>
      </c>
      <c r="H5" s="14">
        <v>37.44</v>
      </c>
      <c r="I5" s="14">
        <v>15.939999999999998</v>
      </c>
      <c r="J5" s="14">
        <v>21.280000000000005</v>
      </c>
      <c r="K5" s="15">
        <f>SUM(H5:J5)</f>
        <v>74.66</v>
      </c>
      <c r="L5" s="16">
        <f>G5+K5</f>
        <v>78.72999999999999</v>
      </c>
      <c r="M5" s="14">
        <v>0</v>
      </c>
      <c r="N5" s="14">
        <v>12.299999999999999</v>
      </c>
      <c r="O5" s="14">
        <v>17.91</v>
      </c>
      <c r="P5" s="15">
        <f>SUM(M5:O5)</f>
        <v>30.21</v>
      </c>
      <c r="Q5" s="14">
        <v>3.5200000000000005</v>
      </c>
      <c r="R5" s="14">
        <v>11.200000000000003</v>
      </c>
      <c r="S5" s="14">
        <v>7.75</v>
      </c>
      <c r="T5" s="15">
        <f>SUM(Q5:S5)</f>
        <v>22.470000000000002</v>
      </c>
      <c r="U5" s="16">
        <f>P5+T5</f>
        <v>52.680000000000007</v>
      </c>
      <c r="V5" s="13">
        <v>0</v>
      </c>
      <c r="W5" s="13">
        <v>0</v>
      </c>
      <c r="X5" s="13">
        <v>0</v>
      </c>
      <c r="Y5" s="17">
        <f>SUM(V5:X5)</f>
        <v>0</v>
      </c>
      <c r="Z5" s="13">
        <v>1</v>
      </c>
      <c r="AA5" s="13">
        <v>0</v>
      </c>
      <c r="AB5" s="13">
        <v>0</v>
      </c>
      <c r="AC5" s="17">
        <f>SUM(Z5:AB5)</f>
        <v>1</v>
      </c>
      <c r="AD5" s="18">
        <f>Y5+AC5</f>
        <v>1</v>
      </c>
      <c r="AE5" s="13">
        <v>0</v>
      </c>
      <c r="AF5" s="13">
        <v>0</v>
      </c>
      <c r="AG5" s="13">
        <v>0</v>
      </c>
      <c r="AH5" s="17">
        <f>SUM(AE5:AG5)</f>
        <v>0</v>
      </c>
      <c r="AI5" s="13">
        <v>0</v>
      </c>
      <c r="AJ5" s="13">
        <v>0</v>
      </c>
      <c r="AK5" s="13">
        <v>0</v>
      </c>
      <c r="AL5" s="17">
        <f>SUM(AI5:AK5)</f>
        <v>0</v>
      </c>
      <c r="AM5" s="18">
        <f>AH5+AL5</f>
        <v>0</v>
      </c>
      <c r="AN5" s="14">
        <v>2.75</v>
      </c>
      <c r="AO5" s="14">
        <v>0</v>
      </c>
      <c r="AP5" s="14">
        <v>2.1</v>
      </c>
      <c r="AQ5" s="15">
        <f>SUM(AN5:AP5)</f>
        <v>4.8499999999999996</v>
      </c>
      <c r="AR5" s="14">
        <v>73.3</v>
      </c>
      <c r="AS5" s="14">
        <v>46.95</v>
      </c>
      <c r="AT5" s="14">
        <v>39.049999999999997</v>
      </c>
      <c r="AU5" s="15">
        <f>SUM(AR5:AT5)</f>
        <v>159.30000000000001</v>
      </c>
      <c r="AV5" s="16">
        <f>AQ5+AU5</f>
        <v>164.15</v>
      </c>
      <c r="AW5" s="14">
        <v>110.51</v>
      </c>
      <c r="AX5" s="14">
        <v>0</v>
      </c>
      <c r="AY5" s="14">
        <v>0</v>
      </c>
      <c r="AZ5" s="15">
        <f>SUM(AW5:AY5)</f>
        <v>110.51</v>
      </c>
      <c r="BA5" s="14">
        <v>86.2</v>
      </c>
      <c r="BB5" s="14">
        <v>0</v>
      </c>
      <c r="BC5" s="14">
        <v>0</v>
      </c>
      <c r="BD5" s="15">
        <f>SUM(BA5:BC5)</f>
        <v>86.2</v>
      </c>
      <c r="BE5" s="16">
        <f>AZ5+BD5</f>
        <v>196.71</v>
      </c>
      <c r="BF5" s="14">
        <v>0</v>
      </c>
      <c r="BG5" s="14">
        <v>0</v>
      </c>
      <c r="BH5" s="14">
        <v>0</v>
      </c>
      <c r="BI5" s="15">
        <f>SUM(BF5:BH5)</f>
        <v>0</v>
      </c>
      <c r="BJ5" s="14">
        <v>0</v>
      </c>
      <c r="BK5" s="14">
        <v>0</v>
      </c>
      <c r="BL5" s="14">
        <v>0</v>
      </c>
      <c r="BM5" s="15">
        <f>SUM(BJ5:BL5)</f>
        <v>0</v>
      </c>
      <c r="BN5" s="16">
        <f>BI5+BM5</f>
        <v>0</v>
      </c>
      <c r="BO5" s="14">
        <v>11.5</v>
      </c>
      <c r="BP5" s="14">
        <v>0</v>
      </c>
      <c r="BQ5" s="14">
        <v>629</v>
      </c>
      <c r="BR5" s="15">
        <f>SUM(BO5:BQ5)</f>
        <v>640.5</v>
      </c>
      <c r="BS5" s="14">
        <v>0</v>
      </c>
      <c r="BT5" s="14">
        <v>0</v>
      </c>
      <c r="BU5" s="14">
        <v>0</v>
      </c>
      <c r="BV5" s="15">
        <f>SUM(BS5:BU5)</f>
        <v>0</v>
      </c>
      <c r="BW5" s="16">
        <f>BR5+BV5</f>
        <v>640.5</v>
      </c>
      <c r="BX5" s="14">
        <v>0</v>
      </c>
      <c r="BY5" s="14">
        <v>17.819999999999997</v>
      </c>
      <c r="BZ5" s="14">
        <v>0</v>
      </c>
      <c r="CA5" s="15">
        <f>SUM(BX5:BZ5)</f>
        <v>17.819999999999997</v>
      </c>
      <c r="CB5" s="14">
        <v>1.97</v>
      </c>
      <c r="CC5" s="14">
        <v>0.42</v>
      </c>
      <c r="CD5" s="14">
        <v>0.3</v>
      </c>
      <c r="CE5" s="15">
        <f>SUM(CB5:CD5)</f>
        <v>2.69</v>
      </c>
      <c r="CF5" s="16">
        <f>CA5+CE5</f>
        <v>20.509999999999998</v>
      </c>
    </row>
    <row r="6" spans="1:84">
      <c r="A6" s="13" t="s">
        <v>24</v>
      </c>
      <c r="B6" s="13">
        <v>6979</v>
      </c>
      <c r="C6" s="14">
        <f t="shared" ref="C6:C18" si="0">L6+U6+AD6+AM6+AV6+BE6+BN6+BW6+CF6</f>
        <v>1914.47</v>
      </c>
      <c r="D6" s="14">
        <v>15.77</v>
      </c>
      <c r="E6" s="14">
        <v>21.740000000000002</v>
      </c>
      <c r="F6" s="14">
        <v>27.67</v>
      </c>
      <c r="G6" s="15">
        <f t="shared" ref="G6:G19" si="1">SUM(D6:F6)</f>
        <v>65.180000000000007</v>
      </c>
      <c r="H6" s="14">
        <v>13.909999999999998</v>
      </c>
      <c r="I6" s="14">
        <v>1.5899999999999999</v>
      </c>
      <c r="J6" s="14">
        <v>55.72</v>
      </c>
      <c r="K6" s="15">
        <f t="shared" ref="K6:K19" si="2">SUM(H6:J6)</f>
        <v>71.22</v>
      </c>
      <c r="L6" s="16">
        <f t="shared" ref="L6:L19" si="3">G6+K6</f>
        <v>136.4</v>
      </c>
      <c r="M6" s="14">
        <v>28.949999999999996</v>
      </c>
      <c r="N6" s="14">
        <v>19.450000000000006</v>
      </c>
      <c r="O6" s="14">
        <v>2.46</v>
      </c>
      <c r="P6" s="15">
        <f t="shared" ref="P6:P18" si="4">SUM(M6:O6)</f>
        <v>50.860000000000007</v>
      </c>
      <c r="Q6" s="14">
        <v>66.800000000000011</v>
      </c>
      <c r="R6" s="14">
        <v>34.370000000000005</v>
      </c>
      <c r="S6" s="14">
        <v>35.760000000000005</v>
      </c>
      <c r="T6" s="15">
        <f t="shared" ref="T6:T18" si="5">SUM(Q6:S6)</f>
        <v>136.93</v>
      </c>
      <c r="U6" s="16">
        <f t="shared" ref="U6:U18" si="6">P6+T6</f>
        <v>187.79000000000002</v>
      </c>
      <c r="V6" s="14">
        <v>4.5699999999999994</v>
      </c>
      <c r="W6" s="14">
        <v>7.37</v>
      </c>
      <c r="X6" s="14">
        <v>14.73</v>
      </c>
      <c r="Y6" s="15">
        <f t="shared" ref="Y6:Y18" si="7">SUM(V6:X6)</f>
        <v>26.67</v>
      </c>
      <c r="Z6" s="14">
        <v>13.16</v>
      </c>
      <c r="AA6" s="14">
        <v>4.66</v>
      </c>
      <c r="AB6" s="14">
        <v>22.52</v>
      </c>
      <c r="AC6" s="15">
        <f t="shared" ref="AC6:AC19" si="8">SUM(Z6:AB6)</f>
        <v>40.340000000000003</v>
      </c>
      <c r="AD6" s="16">
        <f t="shared" ref="AD6:AD19" si="9">Y6+AC6</f>
        <v>67.010000000000005</v>
      </c>
      <c r="AE6" s="13">
        <v>0</v>
      </c>
      <c r="AF6" s="13">
        <v>0</v>
      </c>
      <c r="AG6" s="13">
        <v>0</v>
      </c>
      <c r="AH6" s="17">
        <f t="shared" ref="AH6:AH19" si="10">SUM(AE6:AG6)</f>
        <v>0</v>
      </c>
      <c r="AI6" s="13">
        <v>0</v>
      </c>
      <c r="AJ6" s="13">
        <v>0</v>
      </c>
      <c r="AK6" s="13">
        <v>0</v>
      </c>
      <c r="AL6" s="17">
        <f t="shared" ref="AL6:AL19" si="11">SUM(AI6:AK6)</f>
        <v>0</v>
      </c>
      <c r="AM6" s="18">
        <f t="shared" ref="AM6:AM19" si="12">AH6+AL6</f>
        <v>0</v>
      </c>
      <c r="AN6" s="14">
        <v>181.5</v>
      </c>
      <c r="AO6" s="14">
        <v>148.30000000000001</v>
      </c>
      <c r="AP6" s="14">
        <v>49.7</v>
      </c>
      <c r="AQ6" s="15">
        <f t="shared" ref="AQ6:AQ18" si="13">SUM(AN6:AP6)</f>
        <v>379.5</v>
      </c>
      <c r="AR6" s="14">
        <v>0</v>
      </c>
      <c r="AS6" s="14">
        <v>0</v>
      </c>
      <c r="AT6" s="14">
        <v>0</v>
      </c>
      <c r="AU6" s="15">
        <f t="shared" ref="AU6:AU18" si="14">SUM(AR6:AT6)</f>
        <v>0</v>
      </c>
      <c r="AV6" s="16">
        <f t="shared" ref="AV6:AV19" si="15">AQ6+AU6</f>
        <v>379.5</v>
      </c>
      <c r="AW6" s="14">
        <v>92</v>
      </c>
      <c r="AX6" s="14">
        <v>0</v>
      </c>
      <c r="AY6" s="14">
        <v>0</v>
      </c>
      <c r="AZ6" s="15">
        <f t="shared" ref="AZ6:AZ18" si="16">SUM(AW6:AY6)</f>
        <v>92</v>
      </c>
      <c r="BA6" s="14">
        <v>63.5</v>
      </c>
      <c r="BB6" s="14">
        <v>0</v>
      </c>
      <c r="BC6" s="14">
        <v>0</v>
      </c>
      <c r="BD6" s="15">
        <f t="shared" ref="BD6:BD18" si="17">SUM(BA6:BC6)</f>
        <v>63.5</v>
      </c>
      <c r="BE6" s="16">
        <f t="shared" ref="BE6:BE18" si="18">AZ6+BD6</f>
        <v>155.5</v>
      </c>
      <c r="BF6" s="14">
        <v>35.54</v>
      </c>
      <c r="BG6" s="14">
        <v>33.929999999999993</v>
      </c>
      <c r="BH6" s="14">
        <v>22.279999999999998</v>
      </c>
      <c r="BI6" s="15">
        <f t="shared" ref="BI6:BI18" si="19">SUM(BF6:BH6)</f>
        <v>91.75</v>
      </c>
      <c r="BJ6" s="14">
        <v>32.980000000000004</v>
      </c>
      <c r="BK6" s="14">
        <v>37.6</v>
      </c>
      <c r="BL6" s="14">
        <v>25.09</v>
      </c>
      <c r="BM6" s="15">
        <f t="shared" ref="BM6:BM19" si="20">SUM(BJ6:BL6)</f>
        <v>95.670000000000016</v>
      </c>
      <c r="BN6" s="16">
        <f t="shared" ref="BN6:BN19" si="21">BI6+BM6</f>
        <v>187.42000000000002</v>
      </c>
      <c r="BO6" s="14">
        <v>296</v>
      </c>
      <c r="BP6" s="14">
        <v>283.39999999999998</v>
      </c>
      <c r="BQ6" s="14">
        <v>7.6</v>
      </c>
      <c r="BR6" s="15">
        <f t="shared" ref="BR6:BR18" si="22">SUM(BO6:BQ6)</f>
        <v>587</v>
      </c>
      <c r="BS6" s="14">
        <v>51.75</v>
      </c>
      <c r="BT6" s="14">
        <v>0</v>
      </c>
      <c r="BU6" s="14">
        <v>158.30000000000001</v>
      </c>
      <c r="BV6" s="15">
        <f t="shared" ref="BV6:BV18" si="23">SUM(BS6:BU6)</f>
        <v>210.05</v>
      </c>
      <c r="BW6" s="16">
        <f t="shared" ref="BW6:BW18" si="24">BR6+BV6</f>
        <v>797.05</v>
      </c>
      <c r="BX6" s="14">
        <v>1.46</v>
      </c>
      <c r="BY6" s="14">
        <v>0.16000000000000003</v>
      </c>
      <c r="BZ6" s="14">
        <v>0.32</v>
      </c>
      <c r="CA6" s="15">
        <f t="shared" ref="CA6:CA18" si="25">SUM(BX6:BZ6)</f>
        <v>1.9400000000000002</v>
      </c>
      <c r="CB6" s="14">
        <v>0.06</v>
      </c>
      <c r="CC6" s="14">
        <v>0.75</v>
      </c>
      <c r="CD6" s="14">
        <v>1.05</v>
      </c>
      <c r="CE6" s="15">
        <f t="shared" ref="CE6:CE18" si="26">SUM(CB6:CD6)</f>
        <v>1.86</v>
      </c>
      <c r="CF6" s="16">
        <f t="shared" ref="CF6:CF18" si="27">CA6+CE6</f>
        <v>3.8000000000000003</v>
      </c>
    </row>
    <row r="7" spans="1:84">
      <c r="A7" s="13" t="s">
        <v>25</v>
      </c>
      <c r="B7" s="13">
        <v>7083</v>
      </c>
      <c r="C7" s="14">
        <f t="shared" si="0"/>
        <v>2361.9799999999996</v>
      </c>
      <c r="D7" s="14">
        <v>6.81</v>
      </c>
      <c r="E7" s="14">
        <v>9.18</v>
      </c>
      <c r="F7" s="14">
        <v>0.92999999999999994</v>
      </c>
      <c r="G7" s="15">
        <f t="shared" si="1"/>
        <v>16.919999999999998</v>
      </c>
      <c r="H7" s="14">
        <v>136.75999999999996</v>
      </c>
      <c r="I7" s="14">
        <v>8.8199999999999985</v>
      </c>
      <c r="J7" s="14">
        <v>11.979999999999999</v>
      </c>
      <c r="K7" s="15">
        <f t="shared" si="2"/>
        <v>157.55999999999995</v>
      </c>
      <c r="L7" s="16">
        <f t="shared" si="3"/>
        <v>174.47999999999993</v>
      </c>
      <c r="M7" s="14">
        <v>47.519999999999996</v>
      </c>
      <c r="N7" s="14">
        <v>114.14999999999998</v>
      </c>
      <c r="O7" s="14">
        <v>64.69</v>
      </c>
      <c r="P7" s="15">
        <f t="shared" si="4"/>
        <v>226.35999999999996</v>
      </c>
      <c r="Q7" s="14">
        <v>2.54</v>
      </c>
      <c r="R7" s="14">
        <v>81.060000000000016</v>
      </c>
      <c r="S7" s="14">
        <v>41.109999999999985</v>
      </c>
      <c r="T7" s="15">
        <f t="shared" si="5"/>
        <v>124.71000000000001</v>
      </c>
      <c r="U7" s="16">
        <f t="shared" si="6"/>
        <v>351.06999999999994</v>
      </c>
      <c r="V7" s="14">
        <v>0</v>
      </c>
      <c r="W7" s="14">
        <v>0</v>
      </c>
      <c r="X7" s="14">
        <v>0</v>
      </c>
      <c r="Y7" s="15">
        <f t="shared" si="7"/>
        <v>0</v>
      </c>
      <c r="Z7" s="14">
        <v>2</v>
      </c>
      <c r="AA7" s="14">
        <v>0</v>
      </c>
      <c r="AB7" s="14">
        <v>0.81</v>
      </c>
      <c r="AC7" s="15">
        <f t="shared" si="8"/>
        <v>2.81</v>
      </c>
      <c r="AD7" s="16">
        <f t="shared" si="9"/>
        <v>2.81</v>
      </c>
      <c r="AE7" s="13">
        <v>0</v>
      </c>
      <c r="AF7" s="13">
        <v>0</v>
      </c>
      <c r="AG7" s="13">
        <v>0</v>
      </c>
      <c r="AH7" s="17">
        <f t="shared" si="10"/>
        <v>0</v>
      </c>
      <c r="AI7" s="13">
        <v>0</v>
      </c>
      <c r="AJ7" s="13">
        <v>0</v>
      </c>
      <c r="AK7" s="13">
        <v>0</v>
      </c>
      <c r="AL7" s="17">
        <f t="shared" si="11"/>
        <v>0</v>
      </c>
      <c r="AM7" s="18">
        <f t="shared" si="12"/>
        <v>0</v>
      </c>
      <c r="AN7" s="14">
        <v>51.6</v>
      </c>
      <c r="AO7" s="14">
        <v>0</v>
      </c>
      <c r="AP7" s="14">
        <v>0</v>
      </c>
      <c r="AQ7" s="15">
        <f t="shared" si="13"/>
        <v>51.6</v>
      </c>
      <c r="AR7" s="14">
        <v>86.43</v>
      </c>
      <c r="AS7" s="14">
        <v>35.04</v>
      </c>
      <c r="AT7" s="14">
        <v>0</v>
      </c>
      <c r="AU7" s="15">
        <f t="shared" si="14"/>
        <v>121.47</v>
      </c>
      <c r="AV7" s="16">
        <f t="shared" si="15"/>
        <v>173.07</v>
      </c>
      <c r="AW7" s="14">
        <v>333.9</v>
      </c>
      <c r="AX7" s="14">
        <v>0</v>
      </c>
      <c r="AY7" s="14">
        <v>246.5</v>
      </c>
      <c r="AZ7" s="15">
        <f t="shared" si="16"/>
        <v>580.4</v>
      </c>
      <c r="BA7" s="14">
        <v>420.23999999999995</v>
      </c>
      <c r="BB7" s="14">
        <v>0</v>
      </c>
      <c r="BC7" s="14">
        <v>0</v>
      </c>
      <c r="BD7" s="15">
        <f t="shared" si="17"/>
        <v>420.23999999999995</v>
      </c>
      <c r="BE7" s="16">
        <f t="shared" si="18"/>
        <v>1000.6399999999999</v>
      </c>
      <c r="BF7" s="14">
        <v>4.66</v>
      </c>
      <c r="BG7" s="14">
        <v>0</v>
      </c>
      <c r="BH7" s="14">
        <v>0</v>
      </c>
      <c r="BI7" s="15">
        <f t="shared" si="19"/>
        <v>4.66</v>
      </c>
      <c r="BJ7" s="14">
        <v>0</v>
      </c>
      <c r="BK7" s="14">
        <v>17.84</v>
      </c>
      <c r="BL7" s="14">
        <v>17.84</v>
      </c>
      <c r="BM7" s="15">
        <f t="shared" si="20"/>
        <v>35.68</v>
      </c>
      <c r="BN7" s="16">
        <f t="shared" si="21"/>
        <v>40.340000000000003</v>
      </c>
      <c r="BO7" s="14">
        <v>196</v>
      </c>
      <c r="BP7" s="14">
        <v>6.5</v>
      </c>
      <c r="BQ7" s="14">
        <v>0</v>
      </c>
      <c r="BR7" s="15">
        <f t="shared" si="22"/>
        <v>202.5</v>
      </c>
      <c r="BS7" s="14">
        <v>74.2</v>
      </c>
      <c r="BT7" s="14">
        <v>307.65999999999997</v>
      </c>
      <c r="BU7" s="14">
        <v>11</v>
      </c>
      <c r="BV7" s="15">
        <f t="shared" si="23"/>
        <v>392.85999999999996</v>
      </c>
      <c r="BW7" s="16">
        <f t="shared" si="24"/>
        <v>595.3599999999999</v>
      </c>
      <c r="BX7" s="14">
        <v>3.7199999999999998</v>
      </c>
      <c r="BY7" s="14">
        <v>0.65</v>
      </c>
      <c r="BZ7" s="14">
        <v>0.82</v>
      </c>
      <c r="CA7" s="15">
        <f t="shared" si="25"/>
        <v>5.19</v>
      </c>
      <c r="CB7" s="14">
        <v>8.2199999999999989</v>
      </c>
      <c r="CC7" s="14">
        <v>0</v>
      </c>
      <c r="CD7" s="14">
        <v>10.8</v>
      </c>
      <c r="CE7" s="15">
        <f t="shared" si="26"/>
        <v>19.02</v>
      </c>
      <c r="CF7" s="16">
        <f t="shared" si="27"/>
        <v>24.21</v>
      </c>
    </row>
    <row r="8" spans="1:84">
      <c r="A8" s="13" t="s">
        <v>26</v>
      </c>
      <c r="B8" s="13">
        <v>898</v>
      </c>
      <c r="C8" s="14">
        <f t="shared" si="0"/>
        <v>197.90999999999997</v>
      </c>
      <c r="D8" s="14">
        <v>13.650000000000002</v>
      </c>
      <c r="E8" s="14">
        <v>28.63</v>
      </c>
      <c r="F8" s="14">
        <v>3.44</v>
      </c>
      <c r="G8" s="15">
        <f t="shared" si="1"/>
        <v>45.72</v>
      </c>
      <c r="H8" s="14">
        <v>0</v>
      </c>
      <c r="I8" s="14">
        <v>6.2</v>
      </c>
      <c r="J8" s="14">
        <v>0</v>
      </c>
      <c r="K8" s="15">
        <f t="shared" si="2"/>
        <v>6.2</v>
      </c>
      <c r="L8" s="16">
        <f t="shared" si="3"/>
        <v>51.92</v>
      </c>
      <c r="M8" s="14">
        <v>6.0100000000000007</v>
      </c>
      <c r="N8" s="14">
        <v>0</v>
      </c>
      <c r="O8" s="14">
        <v>0</v>
      </c>
      <c r="P8" s="15">
        <f t="shared" si="4"/>
        <v>6.0100000000000007</v>
      </c>
      <c r="Q8" s="14">
        <v>2.97</v>
      </c>
      <c r="R8" s="14">
        <v>2.95</v>
      </c>
      <c r="S8" s="14">
        <v>3.12</v>
      </c>
      <c r="T8" s="15">
        <f t="shared" si="5"/>
        <v>9.0399999999999991</v>
      </c>
      <c r="U8" s="16">
        <f t="shared" si="6"/>
        <v>15.05</v>
      </c>
      <c r="V8" s="14">
        <v>0</v>
      </c>
      <c r="W8" s="14">
        <v>0</v>
      </c>
      <c r="X8" s="14">
        <v>0</v>
      </c>
      <c r="Y8" s="15">
        <f t="shared" si="7"/>
        <v>0</v>
      </c>
      <c r="Z8" s="14">
        <v>0</v>
      </c>
      <c r="AA8" s="14">
        <v>0</v>
      </c>
      <c r="AB8" s="14">
        <v>0</v>
      </c>
      <c r="AC8" s="15">
        <f t="shared" si="8"/>
        <v>0</v>
      </c>
      <c r="AD8" s="16">
        <f t="shared" si="9"/>
        <v>0</v>
      </c>
      <c r="AE8" s="13">
        <v>0</v>
      </c>
      <c r="AF8" s="13">
        <v>0</v>
      </c>
      <c r="AG8" s="13">
        <v>0</v>
      </c>
      <c r="AH8" s="17">
        <f t="shared" si="10"/>
        <v>0</v>
      </c>
      <c r="AI8" s="13">
        <v>0</v>
      </c>
      <c r="AJ8" s="13">
        <v>0</v>
      </c>
      <c r="AK8" s="13">
        <v>0</v>
      </c>
      <c r="AL8" s="17">
        <f t="shared" si="11"/>
        <v>0</v>
      </c>
      <c r="AM8" s="18">
        <f t="shared" si="12"/>
        <v>0</v>
      </c>
      <c r="AN8" s="14">
        <v>62.699999999999996</v>
      </c>
      <c r="AO8" s="14">
        <v>0</v>
      </c>
      <c r="AP8" s="14">
        <v>0</v>
      </c>
      <c r="AQ8" s="15">
        <f t="shared" si="13"/>
        <v>62.699999999999996</v>
      </c>
      <c r="AR8" s="14">
        <v>0</v>
      </c>
      <c r="AS8" s="14">
        <v>0</v>
      </c>
      <c r="AT8" s="14">
        <v>38.5</v>
      </c>
      <c r="AU8" s="15">
        <f t="shared" si="14"/>
        <v>38.5</v>
      </c>
      <c r="AV8" s="16">
        <f t="shared" si="15"/>
        <v>101.19999999999999</v>
      </c>
      <c r="AW8" s="14">
        <v>0</v>
      </c>
      <c r="AX8" s="14">
        <v>0</v>
      </c>
      <c r="AY8" s="14">
        <v>0</v>
      </c>
      <c r="AZ8" s="15">
        <f t="shared" si="16"/>
        <v>0</v>
      </c>
      <c r="BA8" s="14">
        <v>0</v>
      </c>
      <c r="BB8" s="14">
        <v>24</v>
      </c>
      <c r="BC8" s="14">
        <v>0</v>
      </c>
      <c r="BD8" s="15">
        <f t="shared" si="17"/>
        <v>24</v>
      </c>
      <c r="BE8" s="16">
        <f t="shared" si="18"/>
        <v>24</v>
      </c>
      <c r="BF8" s="14">
        <v>0</v>
      </c>
      <c r="BG8" s="14">
        <v>5.7</v>
      </c>
      <c r="BH8" s="14">
        <v>0</v>
      </c>
      <c r="BI8" s="15">
        <f t="shared" si="19"/>
        <v>5.7</v>
      </c>
      <c r="BJ8" s="14">
        <v>0</v>
      </c>
      <c r="BK8" s="14">
        <v>0</v>
      </c>
      <c r="BL8" s="14">
        <v>0</v>
      </c>
      <c r="BM8" s="15">
        <f t="shared" si="20"/>
        <v>0</v>
      </c>
      <c r="BN8" s="16">
        <f t="shared" si="21"/>
        <v>5.7</v>
      </c>
      <c r="BO8" s="14">
        <v>0</v>
      </c>
      <c r="BP8" s="14">
        <v>0</v>
      </c>
      <c r="BQ8" s="14">
        <v>0</v>
      </c>
      <c r="BR8" s="15">
        <f t="shared" si="22"/>
        <v>0</v>
      </c>
      <c r="BS8" s="14">
        <v>0</v>
      </c>
      <c r="BT8" s="14">
        <v>0</v>
      </c>
      <c r="BU8" s="14">
        <v>0</v>
      </c>
      <c r="BV8" s="15">
        <f t="shared" si="23"/>
        <v>0</v>
      </c>
      <c r="BW8" s="16">
        <f t="shared" si="24"/>
        <v>0</v>
      </c>
      <c r="BX8" s="14">
        <v>0</v>
      </c>
      <c r="BY8" s="14">
        <v>0.04</v>
      </c>
      <c r="BZ8" s="14">
        <v>0</v>
      </c>
      <c r="CA8" s="15">
        <f t="shared" si="25"/>
        <v>0.04</v>
      </c>
      <c r="CB8" s="14">
        <v>0</v>
      </c>
      <c r="CC8" s="14">
        <v>0</v>
      </c>
      <c r="CD8" s="14">
        <v>0</v>
      </c>
      <c r="CE8" s="15">
        <f t="shared" si="26"/>
        <v>0</v>
      </c>
      <c r="CF8" s="16">
        <f t="shared" si="27"/>
        <v>0.04</v>
      </c>
    </row>
    <row r="9" spans="1:84">
      <c r="A9" s="13" t="s">
        <v>27</v>
      </c>
      <c r="B9" s="13">
        <v>2360</v>
      </c>
      <c r="C9" s="14">
        <f t="shared" si="0"/>
        <v>2550.96</v>
      </c>
      <c r="D9" s="14">
        <v>0.16</v>
      </c>
      <c r="E9" s="14">
        <v>0.86</v>
      </c>
      <c r="F9" s="14">
        <v>1.48</v>
      </c>
      <c r="G9" s="15">
        <f t="shared" si="1"/>
        <v>2.5</v>
      </c>
      <c r="H9" s="14">
        <v>0.48</v>
      </c>
      <c r="I9" s="14">
        <v>0</v>
      </c>
      <c r="J9" s="14">
        <v>16.239999999999998</v>
      </c>
      <c r="K9" s="15">
        <f t="shared" si="2"/>
        <v>16.72</v>
      </c>
      <c r="L9" s="16">
        <f t="shared" si="3"/>
        <v>19.22</v>
      </c>
      <c r="M9" s="14">
        <v>3.25</v>
      </c>
      <c r="N9" s="14">
        <v>4.38</v>
      </c>
      <c r="O9" s="14">
        <v>0</v>
      </c>
      <c r="P9" s="15">
        <f t="shared" si="4"/>
        <v>7.63</v>
      </c>
      <c r="Q9" s="14">
        <v>5.9500000000000011</v>
      </c>
      <c r="R9" s="14">
        <v>0</v>
      </c>
      <c r="S9" s="14">
        <v>3.99</v>
      </c>
      <c r="T9" s="15">
        <f t="shared" si="5"/>
        <v>9.9400000000000013</v>
      </c>
      <c r="U9" s="16">
        <f t="shared" si="6"/>
        <v>17.57</v>
      </c>
      <c r="V9" s="14">
        <v>0</v>
      </c>
      <c r="W9" s="14">
        <v>0.34</v>
      </c>
      <c r="X9" s="14">
        <v>0</v>
      </c>
      <c r="Y9" s="15">
        <f t="shared" si="7"/>
        <v>0.34</v>
      </c>
      <c r="Z9" s="14">
        <v>0</v>
      </c>
      <c r="AA9" s="14">
        <v>0</v>
      </c>
      <c r="AB9" s="14">
        <v>0</v>
      </c>
      <c r="AC9" s="15">
        <f t="shared" si="8"/>
        <v>0</v>
      </c>
      <c r="AD9" s="16">
        <f t="shared" si="9"/>
        <v>0.34</v>
      </c>
      <c r="AE9" s="14">
        <v>597.86</v>
      </c>
      <c r="AF9" s="14">
        <v>0</v>
      </c>
      <c r="AG9" s="14">
        <v>0</v>
      </c>
      <c r="AH9" s="15">
        <f t="shared" si="10"/>
        <v>597.86</v>
      </c>
      <c r="AI9" s="14">
        <v>598.70000000000005</v>
      </c>
      <c r="AJ9" s="14">
        <v>0</v>
      </c>
      <c r="AK9" s="14">
        <v>1317.13</v>
      </c>
      <c r="AL9" s="15">
        <f t="shared" si="11"/>
        <v>1915.8300000000002</v>
      </c>
      <c r="AM9" s="16">
        <f t="shared" si="12"/>
        <v>2513.69</v>
      </c>
      <c r="AN9" s="14"/>
      <c r="AO9" s="14">
        <v>0</v>
      </c>
      <c r="AP9" s="14">
        <v>0</v>
      </c>
      <c r="AQ9" s="15">
        <f t="shared" si="13"/>
        <v>0</v>
      </c>
      <c r="AR9" s="14">
        <v>0</v>
      </c>
      <c r="AS9" s="14">
        <v>0</v>
      </c>
      <c r="AT9" s="14">
        <v>0</v>
      </c>
      <c r="AU9" s="15">
        <f t="shared" si="14"/>
        <v>0</v>
      </c>
      <c r="AV9" s="16">
        <f t="shared" si="15"/>
        <v>0</v>
      </c>
      <c r="AW9" s="14">
        <v>0</v>
      </c>
      <c r="AX9" s="14">
        <v>0</v>
      </c>
      <c r="AY9" s="14">
        <v>0</v>
      </c>
      <c r="AZ9" s="15">
        <f t="shared" si="16"/>
        <v>0</v>
      </c>
      <c r="BA9" s="14">
        <v>0</v>
      </c>
      <c r="BB9" s="14">
        <v>0</v>
      </c>
      <c r="BC9" s="14">
        <v>0</v>
      </c>
      <c r="BD9" s="15">
        <f t="shared" si="17"/>
        <v>0</v>
      </c>
      <c r="BE9" s="16">
        <f t="shared" si="18"/>
        <v>0</v>
      </c>
      <c r="BF9" s="14">
        <v>0</v>
      </c>
      <c r="BG9" s="14">
        <v>0</v>
      </c>
      <c r="BH9" s="14">
        <v>0</v>
      </c>
      <c r="BI9" s="15">
        <f t="shared" si="19"/>
        <v>0</v>
      </c>
      <c r="BJ9" s="14">
        <v>0</v>
      </c>
      <c r="BK9" s="14">
        <v>0</v>
      </c>
      <c r="BL9" s="14">
        <v>0</v>
      </c>
      <c r="BM9" s="15">
        <f t="shared" si="20"/>
        <v>0</v>
      </c>
      <c r="BN9" s="16">
        <f t="shared" si="21"/>
        <v>0</v>
      </c>
      <c r="BO9" s="14">
        <v>0</v>
      </c>
      <c r="BP9" s="14">
        <v>0</v>
      </c>
      <c r="BQ9" s="14">
        <v>0</v>
      </c>
      <c r="BR9" s="15">
        <f t="shared" si="22"/>
        <v>0</v>
      </c>
      <c r="BS9" s="14">
        <v>0</v>
      </c>
      <c r="BT9" s="14">
        <v>0</v>
      </c>
      <c r="BU9" s="14">
        <v>0</v>
      </c>
      <c r="BV9" s="15">
        <f t="shared" si="23"/>
        <v>0</v>
      </c>
      <c r="BW9" s="16">
        <f t="shared" si="24"/>
        <v>0</v>
      </c>
      <c r="BX9" s="14">
        <v>0</v>
      </c>
      <c r="BY9" s="14">
        <v>0</v>
      </c>
      <c r="BZ9" s="14">
        <v>0</v>
      </c>
      <c r="CA9" s="15">
        <f t="shared" si="25"/>
        <v>0</v>
      </c>
      <c r="CB9" s="14">
        <v>0.14000000000000001</v>
      </c>
      <c r="CC9" s="14">
        <v>0</v>
      </c>
      <c r="CD9" s="14">
        <v>0</v>
      </c>
      <c r="CE9" s="15">
        <f t="shared" si="26"/>
        <v>0.14000000000000001</v>
      </c>
      <c r="CF9" s="16">
        <f t="shared" si="27"/>
        <v>0.14000000000000001</v>
      </c>
    </row>
    <row r="10" spans="1:84">
      <c r="A10" s="13" t="s">
        <v>28</v>
      </c>
      <c r="B10" s="13">
        <v>15589</v>
      </c>
      <c r="C10" s="14">
        <f t="shared" si="0"/>
        <v>6812.1699999999992</v>
      </c>
      <c r="D10" s="14">
        <v>112.63000000000001</v>
      </c>
      <c r="E10" s="14">
        <v>180.31</v>
      </c>
      <c r="F10" s="14">
        <v>12.440000000000001</v>
      </c>
      <c r="G10" s="15">
        <f t="shared" si="1"/>
        <v>305.38</v>
      </c>
      <c r="H10" s="14">
        <v>39.35</v>
      </c>
      <c r="I10" s="14">
        <v>60.29</v>
      </c>
      <c r="J10" s="14">
        <v>173.87</v>
      </c>
      <c r="K10" s="15">
        <f t="shared" si="2"/>
        <v>273.51</v>
      </c>
      <c r="L10" s="16">
        <f t="shared" si="3"/>
        <v>578.89</v>
      </c>
      <c r="M10" s="14">
        <v>295.95999999999992</v>
      </c>
      <c r="N10" s="14">
        <v>679.70000000000027</v>
      </c>
      <c r="O10" s="14">
        <v>0</v>
      </c>
      <c r="P10" s="15">
        <f t="shared" si="4"/>
        <v>975.6600000000002</v>
      </c>
      <c r="Q10" s="14">
        <v>568.9799999999999</v>
      </c>
      <c r="R10" s="14">
        <v>370.1599999999998</v>
      </c>
      <c r="S10" s="14">
        <v>555.77999999999952</v>
      </c>
      <c r="T10" s="15">
        <f t="shared" si="5"/>
        <v>1494.9199999999992</v>
      </c>
      <c r="U10" s="16">
        <f t="shared" si="6"/>
        <v>2470.5799999999995</v>
      </c>
      <c r="V10" s="14">
        <v>27.64</v>
      </c>
      <c r="W10" s="14">
        <v>8.85</v>
      </c>
      <c r="X10" s="14">
        <v>2.84</v>
      </c>
      <c r="Y10" s="15">
        <f t="shared" si="7"/>
        <v>39.33</v>
      </c>
      <c r="Z10" s="14">
        <v>24.53</v>
      </c>
      <c r="AA10" s="14">
        <v>3.6300000000000003</v>
      </c>
      <c r="AB10" s="14">
        <v>2.33</v>
      </c>
      <c r="AC10" s="15">
        <f t="shared" si="8"/>
        <v>30.490000000000002</v>
      </c>
      <c r="AD10" s="16">
        <f t="shared" si="9"/>
        <v>69.819999999999993</v>
      </c>
      <c r="AE10" s="13">
        <v>0</v>
      </c>
      <c r="AF10" s="13">
        <v>0</v>
      </c>
      <c r="AG10" s="13">
        <v>0</v>
      </c>
      <c r="AH10" s="17">
        <f t="shared" si="10"/>
        <v>0</v>
      </c>
      <c r="AI10" s="13">
        <v>0</v>
      </c>
      <c r="AJ10" s="13">
        <v>0</v>
      </c>
      <c r="AK10" s="13">
        <v>0</v>
      </c>
      <c r="AL10" s="17">
        <f t="shared" si="11"/>
        <v>0</v>
      </c>
      <c r="AM10" s="18">
        <f t="shared" si="12"/>
        <v>0</v>
      </c>
      <c r="AN10" s="14">
        <v>87.95</v>
      </c>
      <c r="AO10" s="14">
        <v>111.89999999999999</v>
      </c>
      <c r="AP10" s="14">
        <v>99.25</v>
      </c>
      <c r="AQ10" s="15">
        <f t="shared" si="13"/>
        <v>299.10000000000002</v>
      </c>
      <c r="AR10" s="14">
        <v>0</v>
      </c>
      <c r="AS10" s="14">
        <v>35.6</v>
      </c>
      <c r="AT10" s="14">
        <v>184.64000000000001</v>
      </c>
      <c r="AU10" s="15">
        <f t="shared" si="14"/>
        <v>220.24</v>
      </c>
      <c r="AV10" s="16">
        <f t="shared" si="15"/>
        <v>519.34</v>
      </c>
      <c r="AW10" s="14">
        <v>300.5</v>
      </c>
      <c r="AX10" s="14">
        <v>80.25</v>
      </c>
      <c r="AY10" s="14">
        <v>46</v>
      </c>
      <c r="AZ10" s="15">
        <f t="shared" si="16"/>
        <v>426.75</v>
      </c>
      <c r="BA10" s="14">
        <v>108.25</v>
      </c>
      <c r="BB10" s="14">
        <v>171</v>
      </c>
      <c r="BC10" s="14">
        <v>0</v>
      </c>
      <c r="BD10" s="15">
        <f t="shared" si="17"/>
        <v>279.25</v>
      </c>
      <c r="BE10" s="16">
        <f t="shared" si="18"/>
        <v>706</v>
      </c>
      <c r="BF10" s="14">
        <v>0.33</v>
      </c>
      <c r="BG10" s="14">
        <v>10.050000000000001</v>
      </c>
      <c r="BH10" s="14">
        <v>0</v>
      </c>
      <c r="BI10" s="15">
        <f t="shared" si="19"/>
        <v>10.38</v>
      </c>
      <c r="BJ10" s="14">
        <v>10.68</v>
      </c>
      <c r="BK10" s="14">
        <v>0</v>
      </c>
      <c r="BL10" s="14">
        <v>10.199999999999999</v>
      </c>
      <c r="BM10" s="15">
        <f t="shared" si="20"/>
        <v>20.88</v>
      </c>
      <c r="BN10" s="16">
        <f t="shared" si="21"/>
        <v>31.259999999999998</v>
      </c>
      <c r="BO10" s="14">
        <v>1179</v>
      </c>
      <c r="BP10" s="14">
        <v>83.38</v>
      </c>
      <c r="BQ10" s="14">
        <v>582.35</v>
      </c>
      <c r="BR10" s="15">
        <f t="shared" si="22"/>
        <v>1844.73</v>
      </c>
      <c r="BS10" s="14">
        <v>195.34999999999997</v>
      </c>
      <c r="BT10" s="14">
        <v>108.25000000000001</v>
      </c>
      <c r="BU10" s="14">
        <v>106</v>
      </c>
      <c r="BV10" s="15">
        <f t="shared" si="23"/>
        <v>409.59999999999997</v>
      </c>
      <c r="BW10" s="16">
        <f t="shared" si="24"/>
        <v>2254.33</v>
      </c>
      <c r="BX10" s="14">
        <v>35.650000000000006</v>
      </c>
      <c r="BY10" s="14">
        <v>2.02</v>
      </c>
      <c r="BZ10" s="14">
        <v>26.43</v>
      </c>
      <c r="CA10" s="15">
        <f t="shared" si="25"/>
        <v>64.100000000000009</v>
      </c>
      <c r="CB10" s="14">
        <v>26.619999999999997</v>
      </c>
      <c r="CC10" s="14">
        <v>19.159999999999997</v>
      </c>
      <c r="CD10" s="14">
        <v>72.070000000000007</v>
      </c>
      <c r="CE10" s="15">
        <f t="shared" si="26"/>
        <v>117.85</v>
      </c>
      <c r="CF10" s="16">
        <f t="shared" si="27"/>
        <v>181.95</v>
      </c>
    </row>
    <row r="11" spans="1:84">
      <c r="A11" s="13" t="s">
        <v>29</v>
      </c>
      <c r="B11" s="13">
        <v>5910</v>
      </c>
      <c r="C11" s="14">
        <f t="shared" si="0"/>
        <v>3600.78</v>
      </c>
      <c r="D11" s="14">
        <v>13.13</v>
      </c>
      <c r="E11" s="14">
        <v>0</v>
      </c>
      <c r="F11" s="14">
        <v>3.85</v>
      </c>
      <c r="G11" s="15">
        <f t="shared" si="1"/>
        <v>16.98</v>
      </c>
      <c r="H11" s="14">
        <v>1.25</v>
      </c>
      <c r="I11" s="14">
        <v>5.7799999999999994</v>
      </c>
      <c r="J11" s="14">
        <v>6.2899999999999991</v>
      </c>
      <c r="K11" s="15">
        <f t="shared" si="2"/>
        <v>13.319999999999999</v>
      </c>
      <c r="L11" s="16">
        <f t="shared" si="3"/>
        <v>30.299999999999997</v>
      </c>
      <c r="M11" s="14">
        <v>89.350000000000009</v>
      </c>
      <c r="N11" s="14">
        <v>115.53</v>
      </c>
      <c r="O11" s="14">
        <v>28.550000000000004</v>
      </c>
      <c r="P11" s="15">
        <f t="shared" si="4"/>
        <v>233.43</v>
      </c>
      <c r="Q11" s="14">
        <v>46.530000000000008</v>
      </c>
      <c r="R11" s="14">
        <v>46.77</v>
      </c>
      <c r="S11" s="14">
        <v>112.15000000000002</v>
      </c>
      <c r="T11" s="15">
        <f t="shared" si="5"/>
        <v>205.45000000000005</v>
      </c>
      <c r="U11" s="16">
        <f t="shared" si="6"/>
        <v>438.88000000000005</v>
      </c>
      <c r="V11" s="14">
        <v>2.6</v>
      </c>
      <c r="W11" s="14">
        <v>1.38</v>
      </c>
      <c r="X11" s="14">
        <v>1.94</v>
      </c>
      <c r="Y11" s="15">
        <f t="shared" si="7"/>
        <v>5.92</v>
      </c>
      <c r="Z11" s="14">
        <v>0</v>
      </c>
      <c r="AA11" s="14">
        <v>10.379999999999999</v>
      </c>
      <c r="AB11" s="14">
        <v>2.6</v>
      </c>
      <c r="AC11" s="15">
        <f t="shared" si="8"/>
        <v>12.979999999999999</v>
      </c>
      <c r="AD11" s="16">
        <f t="shared" si="9"/>
        <v>18.899999999999999</v>
      </c>
      <c r="AE11" s="13">
        <v>0</v>
      </c>
      <c r="AF11" s="13">
        <v>0</v>
      </c>
      <c r="AG11" s="13">
        <v>0</v>
      </c>
      <c r="AH11" s="17">
        <f t="shared" si="10"/>
        <v>0</v>
      </c>
      <c r="AI11" s="13">
        <v>0</v>
      </c>
      <c r="AJ11" s="13">
        <v>0</v>
      </c>
      <c r="AK11" s="13">
        <v>0</v>
      </c>
      <c r="AL11" s="17">
        <f t="shared" si="11"/>
        <v>0</v>
      </c>
      <c r="AM11" s="18">
        <f t="shared" si="12"/>
        <v>0</v>
      </c>
      <c r="AN11" s="14">
        <v>22</v>
      </c>
      <c r="AO11" s="14">
        <v>0</v>
      </c>
      <c r="AP11" s="14">
        <v>0</v>
      </c>
      <c r="AQ11" s="15">
        <f t="shared" si="13"/>
        <v>22</v>
      </c>
      <c r="AR11" s="14">
        <v>0</v>
      </c>
      <c r="AS11" s="14">
        <v>0</v>
      </c>
      <c r="AT11" s="14">
        <v>0</v>
      </c>
      <c r="AU11" s="15">
        <f t="shared" si="14"/>
        <v>0</v>
      </c>
      <c r="AV11" s="16">
        <f t="shared" si="15"/>
        <v>22</v>
      </c>
      <c r="AW11" s="14">
        <v>12.25</v>
      </c>
      <c r="AX11" s="14">
        <v>0</v>
      </c>
      <c r="AY11" s="14">
        <v>42</v>
      </c>
      <c r="AZ11" s="15">
        <f t="shared" si="16"/>
        <v>54.25</v>
      </c>
      <c r="BA11" s="14">
        <v>0</v>
      </c>
      <c r="BB11" s="14">
        <v>123.9</v>
      </c>
      <c r="BC11" s="14">
        <v>0</v>
      </c>
      <c r="BD11" s="15">
        <f t="shared" si="17"/>
        <v>123.9</v>
      </c>
      <c r="BE11" s="16">
        <f t="shared" si="18"/>
        <v>178.15</v>
      </c>
      <c r="BF11" s="14">
        <v>0</v>
      </c>
      <c r="BG11" s="14">
        <v>0</v>
      </c>
      <c r="BH11" s="14">
        <v>0</v>
      </c>
      <c r="BI11" s="15">
        <f t="shared" si="19"/>
        <v>0</v>
      </c>
      <c r="BJ11" s="14">
        <v>0</v>
      </c>
      <c r="BK11" s="14">
        <v>0</v>
      </c>
      <c r="BL11" s="14">
        <v>0</v>
      </c>
      <c r="BM11" s="15">
        <f t="shared" si="20"/>
        <v>0</v>
      </c>
      <c r="BN11" s="16">
        <f t="shared" si="21"/>
        <v>0</v>
      </c>
      <c r="BO11" s="14">
        <v>1145.5</v>
      </c>
      <c r="BP11" s="14">
        <v>1347</v>
      </c>
      <c r="BQ11" s="14">
        <v>135.4</v>
      </c>
      <c r="BR11" s="15">
        <f t="shared" si="22"/>
        <v>2627.9</v>
      </c>
      <c r="BS11" s="14">
        <v>24.299999999999997</v>
      </c>
      <c r="BT11" s="14">
        <v>60.2</v>
      </c>
      <c r="BU11" s="14">
        <v>158.94</v>
      </c>
      <c r="BV11" s="15">
        <f t="shared" si="23"/>
        <v>243.44</v>
      </c>
      <c r="BW11" s="16">
        <f t="shared" si="24"/>
        <v>2871.34</v>
      </c>
      <c r="BX11" s="14">
        <v>6.9800000000000013</v>
      </c>
      <c r="BY11" s="14">
        <v>0.65</v>
      </c>
      <c r="BZ11" s="14">
        <v>19.199999999999996</v>
      </c>
      <c r="CA11" s="15">
        <f t="shared" si="25"/>
        <v>26.83</v>
      </c>
      <c r="CB11" s="14">
        <v>1.1100000000000001</v>
      </c>
      <c r="CC11" s="14">
        <v>9.32</v>
      </c>
      <c r="CD11" s="14">
        <v>3.9499999999999997</v>
      </c>
      <c r="CE11" s="15">
        <f t="shared" si="26"/>
        <v>14.379999999999999</v>
      </c>
      <c r="CF11" s="16">
        <f t="shared" si="27"/>
        <v>41.209999999999994</v>
      </c>
    </row>
    <row r="12" spans="1:84">
      <c r="A12" s="13" t="s">
        <v>30</v>
      </c>
      <c r="B12" s="13">
        <v>3300</v>
      </c>
      <c r="C12" s="14">
        <f t="shared" si="0"/>
        <v>514.39</v>
      </c>
      <c r="D12" s="14">
        <v>0.32</v>
      </c>
      <c r="E12" s="14">
        <v>10.51</v>
      </c>
      <c r="F12" s="14">
        <v>5.17</v>
      </c>
      <c r="G12" s="15">
        <f t="shared" si="1"/>
        <v>16</v>
      </c>
      <c r="H12" s="14">
        <v>9.68</v>
      </c>
      <c r="I12" s="14">
        <v>0.37</v>
      </c>
      <c r="J12" s="14">
        <v>6.8599999999999994</v>
      </c>
      <c r="K12" s="15">
        <f t="shared" si="2"/>
        <v>16.909999999999997</v>
      </c>
      <c r="L12" s="16">
        <f t="shared" si="3"/>
        <v>32.909999999999997</v>
      </c>
      <c r="M12" s="14">
        <v>0</v>
      </c>
      <c r="N12" s="14">
        <v>0</v>
      </c>
      <c r="O12" s="14">
        <v>0</v>
      </c>
      <c r="P12" s="15">
        <f t="shared" si="4"/>
        <v>0</v>
      </c>
      <c r="Q12" s="14">
        <v>0</v>
      </c>
      <c r="R12" s="14">
        <v>0</v>
      </c>
      <c r="S12" s="14">
        <v>0</v>
      </c>
      <c r="T12" s="15">
        <f t="shared" si="5"/>
        <v>0</v>
      </c>
      <c r="U12" s="16">
        <f t="shared" si="6"/>
        <v>0</v>
      </c>
      <c r="V12" s="14">
        <v>0</v>
      </c>
      <c r="W12" s="14">
        <v>0</v>
      </c>
      <c r="X12" s="14">
        <v>0</v>
      </c>
      <c r="Y12" s="15">
        <f t="shared" si="7"/>
        <v>0</v>
      </c>
      <c r="Z12" s="14">
        <v>0</v>
      </c>
      <c r="AA12" s="14">
        <v>4</v>
      </c>
      <c r="AB12" s="14">
        <v>0</v>
      </c>
      <c r="AC12" s="15">
        <f t="shared" si="8"/>
        <v>4</v>
      </c>
      <c r="AD12" s="16">
        <f t="shared" si="9"/>
        <v>4</v>
      </c>
      <c r="AE12" s="13">
        <v>0</v>
      </c>
      <c r="AF12" s="13">
        <v>0</v>
      </c>
      <c r="AG12" s="13">
        <v>0</v>
      </c>
      <c r="AH12" s="17">
        <f t="shared" si="10"/>
        <v>0</v>
      </c>
      <c r="AI12" s="13">
        <v>0</v>
      </c>
      <c r="AJ12" s="13">
        <v>0</v>
      </c>
      <c r="AK12" s="13">
        <v>0</v>
      </c>
      <c r="AL12" s="17">
        <f t="shared" si="11"/>
        <v>0</v>
      </c>
      <c r="AM12" s="18">
        <f t="shared" si="12"/>
        <v>0</v>
      </c>
      <c r="AN12" s="14">
        <v>74.959999999999994</v>
      </c>
      <c r="AO12" s="14">
        <v>0</v>
      </c>
      <c r="AP12" s="14">
        <v>98.28</v>
      </c>
      <c r="AQ12" s="15">
        <f t="shared" si="13"/>
        <v>173.24</v>
      </c>
      <c r="AR12" s="14">
        <v>14.35</v>
      </c>
      <c r="AS12" s="14">
        <v>86.76</v>
      </c>
      <c r="AT12" s="14">
        <v>133.83000000000001</v>
      </c>
      <c r="AU12" s="15">
        <f t="shared" si="14"/>
        <v>234.94</v>
      </c>
      <c r="AV12" s="16">
        <f t="shared" si="15"/>
        <v>408.18</v>
      </c>
      <c r="AW12" s="14">
        <v>0</v>
      </c>
      <c r="AX12" s="14">
        <v>0</v>
      </c>
      <c r="AY12" s="14">
        <v>0</v>
      </c>
      <c r="AZ12" s="15">
        <f t="shared" si="16"/>
        <v>0</v>
      </c>
      <c r="BA12" s="14">
        <v>0</v>
      </c>
      <c r="BB12" s="14">
        <v>0</v>
      </c>
      <c r="BC12" s="14">
        <v>0</v>
      </c>
      <c r="BD12" s="15">
        <f t="shared" si="17"/>
        <v>0</v>
      </c>
      <c r="BE12" s="16">
        <f t="shared" si="18"/>
        <v>0</v>
      </c>
      <c r="BF12" s="14">
        <v>0</v>
      </c>
      <c r="BG12" s="14">
        <v>0</v>
      </c>
      <c r="BH12" s="14">
        <v>0</v>
      </c>
      <c r="BI12" s="15">
        <f t="shared" si="19"/>
        <v>0</v>
      </c>
      <c r="BJ12" s="14">
        <v>0</v>
      </c>
      <c r="BK12" s="14">
        <v>0</v>
      </c>
      <c r="BL12" s="14">
        <v>0</v>
      </c>
      <c r="BM12" s="15">
        <f t="shared" si="20"/>
        <v>0</v>
      </c>
      <c r="BN12" s="16">
        <f t="shared" si="21"/>
        <v>0</v>
      </c>
      <c r="BO12" s="14">
        <v>0</v>
      </c>
      <c r="BP12" s="14">
        <v>0</v>
      </c>
      <c r="BQ12" s="14">
        <v>0</v>
      </c>
      <c r="BR12" s="15">
        <f t="shared" si="22"/>
        <v>0</v>
      </c>
      <c r="BS12" s="14">
        <v>0</v>
      </c>
      <c r="BT12" s="14">
        <v>0</v>
      </c>
      <c r="BU12" s="14">
        <v>0</v>
      </c>
      <c r="BV12" s="15">
        <f t="shared" si="23"/>
        <v>0</v>
      </c>
      <c r="BW12" s="16">
        <f t="shared" si="24"/>
        <v>0</v>
      </c>
      <c r="BX12" s="14">
        <v>1.74</v>
      </c>
      <c r="BY12" s="14">
        <v>16.57</v>
      </c>
      <c r="BZ12" s="14">
        <v>7.09</v>
      </c>
      <c r="CA12" s="15">
        <f t="shared" si="25"/>
        <v>25.4</v>
      </c>
      <c r="CB12" s="14">
        <v>0</v>
      </c>
      <c r="CC12" s="14">
        <v>22.58</v>
      </c>
      <c r="CD12" s="14">
        <v>21.319999999999997</v>
      </c>
      <c r="CE12" s="15">
        <f t="shared" si="26"/>
        <v>43.899999999999991</v>
      </c>
      <c r="CF12" s="16">
        <f t="shared" si="27"/>
        <v>69.299999999999983</v>
      </c>
    </row>
    <row r="13" spans="1:84">
      <c r="A13" s="13" t="s">
        <v>31</v>
      </c>
      <c r="B13" s="13">
        <v>11470</v>
      </c>
      <c r="C13" s="14">
        <f t="shared" si="0"/>
        <v>5809.2199999999993</v>
      </c>
      <c r="D13" s="14">
        <v>94.929999999999993</v>
      </c>
      <c r="E13" s="14">
        <v>79.7</v>
      </c>
      <c r="F13" s="14">
        <v>26.660000000000004</v>
      </c>
      <c r="G13" s="15">
        <f t="shared" si="1"/>
        <v>201.29</v>
      </c>
      <c r="H13" s="14">
        <v>104.21</v>
      </c>
      <c r="I13" s="14">
        <v>72</v>
      </c>
      <c r="J13" s="14">
        <v>88.730000000000018</v>
      </c>
      <c r="K13" s="15">
        <f t="shared" si="2"/>
        <v>264.94</v>
      </c>
      <c r="L13" s="16">
        <f t="shared" si="3"/>
        <v>466.23</v>
      </c>
      <c r="M13" s="14">
        <v>68.100000000000009</v>
      </c>
      <c r="N13" s="14">
        <v>114.26000000000003</v>
      </c>
      <c r="O13" s="14">
        <v>70.779999999999987</v>
      </c>
      <c r="P13" s="15">
        <f t="shared" si="4"/>
        <v>253.14000000000004</v>
      </c>
      <c r="Q13" s="14">
        <v>78.290000000000006</v>
      </c>
      <c r="R13" s="14">
        <v>100.74</v>
      </c>
      <c r="S13" s="14">
        <v>135.76000000000005</v>
      </c>
      <c r="T13" s="15">
        <f t="shared" si="5"/>
        <v>314.79000000000008</v>
      </c>
      <c r="U13" s="16">
        <f t="shared" si="6"/>
        <v>567.93000000000006</v>
      </c>
      <c r="V13" s="14">
        <v>16.43</v>
      </c>
      <c r="W13" s="14">
        <v>13.11</v>
      </c>
      <c r="X13" s="14">
        <v>13.629999999999999</v>
      </c>
      <c r="Y13" s="15">
        <f t="shared" si="7"/>
        <v>43.17</v>
      </c>
      <c r="Z13" s="14">
        <v>11.149999999999999</v>
      </c>
      <c r="AA13" s="14">
        <v>27.200000000000003</v>
      </c>
      <c r="AB13" s="14">
        <v>1.57</v>
      </c>
      <c r="AC13" s="15">
        <f t="shared" si="8"/>
        <v>39.92</v>
      </c>
      <c r="AD13" s="16">
        <f t="shared" si="9"/>
        <v>83.09</v>
      </c>
      <c r="AE13" s="13">
        <v>0</v>
      </c>
      <c r="AF13" s="13">
        <v>0</v>
      </c>
      <c r="AG13" s="13">
        <v>0</v>
      </c>
      <c r="AH13" s="17">
        <f t="shared" si="10"/>
        <v>0</v>
      </c>
      <c r="AI13" s="13">
        <v>0</v>
      </c>
      <c r="AJ13" s="13">
        <v>0</v>
      </c>
      <c r="AK13" s="13">
        <v>0</v>
      </c>
      <c r="AL13" s="17">
        <f t="shared" si="11"/>
        <v>0</v>
      </c>
      <c r="AM13" s="18">
        <f t="shared" si="12"/>
        <v>0</v>
      </c>
      <c r="AN13" s="14">
        <v>271.85000000000002</v>
      </c>
      <c r="AO13" s="14">
        <v>22.5</v>
      </c>
      <c r="AP13" s="14">
        <v>184.5</v>
      </c>
      <c r="AQ13" s="15">
        <f t="shared" si="13"/>
        <v>478.85</v>
      </c>
      <c r="AR13" s="14">
        <v>319.39999999999998</v>
      </c>
      <c r="AS13" s="14">
        <v>549.24</v>
      </c>
      <c r="AT13" s="14">
        <v>383.4899999999999</v>
      </c>
      <c r="AU13" s="15">
        <f t="shared" si="14"/>
        <v>1252.1299999999999</v>
      </c>
      <c r="AV13" s="16">
        <f t="shared" si="15"/>
        <v>1730.98</v>
      </c>
      <c r="AW13" s="14">
        <v>10.15</v>
      </c>
      <c r="AX13" s="14">
        <v>91.5</v>
      </c>
      <c r="AY13" s="14">
        <v>238.9</v>
      </c>
      <c r="AZ13" s="15">
        <f t="shared" si="16"/>
        <v>340.55</v>
      </c>
      <c r="BA13" s="14">
        <v>326.45</v>
      </c>
      <c r="BB13" s="14">
        <v>181</v>
      </c>
      <c r="BC13" s="14">
        <v>1158.7399999999998</v>
      </c>
      <c r="BD13" s="15">
        <f t="shared" si="17"/>
        <v>1666.1899999999998</v>
      </c>
      <c r="BE13" s="16">
        <f t="shared" si="18"/>
        <v>2006.7399999999998</v>
      </c>
      <c r="BF13" s="14">
        <v>18.97</v>
      </c>
      <c r="BG13" s="14">
        <v>17.21</v>
      </c>
      <c r="BH13" s="14">
        <v>14.799999999999999</v>
      </c>
      <c r="BI13" s="15">
        <f t="shared" si="19"/>
        <v>50.98</v>
      </c>
      <c r="BJ13" s="14">
        <v>6.4</v>
      </c>
      <c r="BK13" s="14">
        <v>26.1</v>
      </c>
      <c r="BL13" s="14">
        <v>18.600000000000001</v>
      </c>
      <c r="BM13" s="15">
        <f t="shared" si="20"/>
        <v>51.1</v>
      </c>
      <c r="BN13" s="16">
        <f t="shared" si="21"/>
        <v>102.08</v>
      </c>
      <c r="BO13" s="14">
        <v>240.55</v>
      </c>
      <c r="BP13" s="14">
        <v>179.25</v>
      </c>
      <c r="BQ13" s="14">
        <v>0</v>
      </c>
      <c r="BR13" s="15">
        <f t="shared" si="22"/>
        <v>419.8</v>
      </c>
      <c r="BS13" s="14">
        <v>88.5</v>
      </c>
      <c r="BT13" s="14">
        <v>0</v>
      </c>
      <c r="BU13" s="14">
        <v>285.60000000000002</v>
      </c>
      <c r="BV13" s="15">
        <f t="shared" si="23"/>
        <v>374.1</v>
      </c>
      <c r="BW13" s="16">
        <f t="shared" si="24"/>
        <v>793.90000000000009</v>
      </c>
      <c r="BX13" s="14">
        <v>4.1099999999999994</v>
      </c>
      <c r="BY13" s="14">
        <v>11.15</v>
      </c>
      <c r="BZ13" s="14">
        <v>24.98</v>
      </c>
      <c r="CA13" s="15">
        <f t="shared" si="25"/>
        <v>40.24</v>
      </c>
      <c r="CB13" s="14">
        <v>0.23</v>
      </c>
      <c r="CC13" s="14">
        <v>2.72</v>
      </c>
      <c r="CD13" s="14">
        <v>15.08</v>
      </c>
      <c r="CE13" s="15">
        <f t="shared" si="26"/>
        <v>18.03</v>
      </c>
      <c r="CF13" s="16">
        <f t="shared" si="27"/>
        <v>58.27</v>
      </c>
    </row>
    <row r="14" spans="1:84">
      <c r="A14" s="13" t="s">
        <v>32</v>
      </c>
      <c r="B14" s="13">
        <v>6010</v>
      </c>
      <c r="C14" s="14">
        <f t="shared" si="0"/>
        <v>3110.94</v>
      </c>
      <c r="D14" s="14">
        <v>18.97</v>
      </c>
      <c r="E14" s="14">
        <v>22.86</v>
      </c>
      <c r="F14" s="14">
        <v>0</v>
      </c>
      <c r="G14" s="15">
        <f t="shared" si="1"/>
        <v>41.83</v>
      </c>
      <c r="H14" s="14">
        <v>0.44</v>
      </c>
      <c r="I14" s="14">
        <v>0</v>
      </c>
      <c r="J14" s="14">
        <v>13.73</v>
      </c>
      <c r="K14" s="15">
        <f t="shared" si="2"/>
        <v>14.17</v>
      </c>
      <c r="L14" s="16">
        <f t="shared" si="3"/>
        <v>56</v>
      </c>
      <c r="M14" s="14">
        <v>63.540000000000013</v>
      </c>
      <c r="N14" s="14">
        <v>41.569999999999993</v>
      </c>
      <c r="O14" s="14">
        <v>24.16</v>
      </c>
      <c r="P14" s="15">
        <f t="shared" si="4"/>
        <v>129.27000000000001</v>
      </c>
      <c r="Q14" s="14">
        <v>79.34</v>
      </c>
      <c r="R14" s="14">
        <v>252.47999999999993</v>
      </c>
      <c r="S14" s="14">
        <v>6.62</v>
      </c>
      <c r="T14" s="15">
        <f t="shared" si="5"/>
        <v>338.43999999999994</v>
      </c>
      <c r="U14" s="16">
        <f t="shared" si="6"/>
        <v>467.70999999999992</v>
      </c>
      <c r="V14" s="14">
        <v>0</v>
      </c>
      <c r="W14" s="14">
        <v>17.22</v>
      </c>
      <c r="X14" s="14">
        <v>0</v>
      </c>
      <c r="Y14" s="15">
        <f t="shared" si="7"/>
        <v>17.22</v>
      </c>
      <c r="Z14" s="14">
        <v>2.92</v>
      </c>
      <c r="AA14" s="14">
        <v>0</v>
      </c>
      <c r="AB14" s="14">
        <v>0</v>
      </c>
      <c r="AC14" s="15">
        <f t="shared" si="8"/>
        <v>2.92</v>
      </c>
      <c r="AD14" s="16">
        <f t="shared" si="9"/>
        <v>20.14</v>
      </c>
      <c r="AE14" s="13">
        <v>0</v>
      </c>
      <c r="AF14" s="13">
        <v>0</v>
      </c>
      <c r="AG14" s="13">
        <v>0</v>
      </c>
      <c r="AH14" s="17">
        <f t="shared" si="10"/>
        <v>0</v>
      </c>
      <c r="AI14" s="13">
        <v>0</v>
      </c>
      <c r="AJ14" s="13">
        <v>0</v>
      </c>
      <c r="AK14" s="13">
        <v>0</v>
      </c>
      <c r="AL14" s="17">
        <f t="shared" si="11"/>
        <v>0</v>
      </c>
      <c r="AM14" s="18">
        <f t="shared" si="12"/>
        <v>0</v>
      </c>
      <c r="AN14" s="14">
        <v>92.5</v>
      </c>
      <c r="AO14" s="14">
        <v>139.25</v>
      </c>
      <c r="AP14" s="14">
        <v>11.5</v>
      </c>
      <c r="AQ14" s="15">
        <f t="shared" si="13"/>
        <v>243.25</v>
      </c>
      <c r="AR14" s="14">
        <v>126.25</v>
      </c>
      <c r="AS14" s="14">
        <v>26.9</v>
      </c>
      <c r="AT14" s="14">
        <v>221.45</v>
      </c>
      <c r="AU14" s="15">
        <f t="shared" si="14"/>
        <v>374.6</v>
      </c>
      <c r="AV14" s="16">
        <f t="shared" si="15"/>
        <v>617.85</v>
      </c>
      <c r="AW14" s="14">
        <v>0</v>
      </c>
      <c r="AX14" s="14">
        <v>20.5</v>
      </c>
      <c r="AY14" s="14">
        <v>0</v>
      </c>
      <c r="AZ14" s="15">
        <f t="shared" si="16"/>
        <v>20.5</v>
      </c>
      <c r="BA14" s="14">
        <v>104</v>
      </c>
      <c r="BB14" s="14">
        <v>0</v>
      </c>
      <c r="BC14" s="14">
        <v>84</v>
      </c>
      <c r="BD14" s="15">
        <f t="shared" si="17"/>
        <v>188</v>
      </c>
      <c r="BE14" s="16">
        <f t="shared" si="18"/>
        <v>208.5</v>
      </c>
      <c r="BF14" s="14">
        <v>0</v>
      </c>
      <c r="BG14" s="14">
        <v>0</v>
      </c>
      <c r="BH14" s="14">
        <v>0</v>
      </c>
      <c r="BI14" s="15">
        <f t="shared" si="19"/>
        <v>0</v>
      </c>
      <c r="BJ14" s="14">
        <v>0</v>
      </c>
      <c r="BK14" s="14">
        <v>0</v>
      </c>
      <c r="BL14" s="14">
        <v>0</v>
      </c>
      <c r="BM14" s="15">
        <f t="shared" si="20"/>
        <v>0</v>
      </c>
      <c r="BN14" s="16">
        <f t="shared" si="21"/>
        <v>0</v>
      </c>
      <c r="BO14" s="14">
        <v>1026.7</v>
      </c>
      <c r="BP14" s="14">
        <v>260.79999999999995</v>
      </c>
      <c r="BQ14" s="14">
        <v>85.25</v>
      </c>
      <c r="BR14" s="15">
        <f t="shared" si="22"/>
        <v>1372.75</v>
      </c>
      <c r="BS14" s="14">
        <v>49</v>
      </c>
      <c r="BT14" s="14">
        <v>0</v>
      </c>
      <c r="BU14" s="14">
        <v>305.14999999999998</v>
      </c>
      <c r="BV14" s="15">
        <f t="shared" si="23"/>
        <v>354.15</v>
      </c>
      <c r="BW14" s="16">
        <f t="shared" si="24"/>
        <v>1726.9</v>
      </c>
      <c r="BX14" s="14">
        <v>1.06</v>
      </c>
      <c r="BY14" s="14">
        <v>1.08</v>
      </c>
      <c r="BZ14" s="14">
        <v>0</v>
      </c>
      <c r="CA14" s="15">
        <f t="shared" si="25"/>
        <v>2.14</v>
      </c>
      <c r="CB14" s="14">
        <v>0.14000000000000001</v>
      </c>
      <c r="CC14" s="14">
        <v>1.68</v>
      </c>
      <c r="CD14" s="14">
        <v>9.879999999999999</v>
      </c>
      <c r="CE14" s="15">
        <f t="shared" si="26"/>
        <v>11.7</v>
      </c>
      <c r="CF14" s="16">
        <f t="shared" si="27"/>
        <v>13.84</v>
      </c>
    </row>
    <row r="15" spans="1:84">
      <c r="A15" s="13" t="s">
        <v>33</v>
      </c>
      <c r="B15" s="13">
        <v>5977</v>
      </c>
      <c r="C15" s="14">
        <f t="shared" si="0"/>
        <v>2376.0300000000002</v>
      </c>
      <c r="D15" s="14">
        <v>30.869999999999997</v>
      </c>
      <c r="E15" s="14">
        <v>3.59</v>
      </c>
      <c r="F15" s="14">
        <v>0</v>
      </c>
      <c r="G15" s="15">
        <f t="shared" si="1"/>
        <v>34.459999999999994</v>
      </c>
      <c r="H15" s="14">
        <v>25.270000000000003</v>
      </c>
      <c r="I15" s="14">
        <v>32.25</v>
      </c>
      <c r="J15" s="14">
        <v>0</v>
      </c>
      <c r="K15" s="15">
        <f t="shared" si="2"/>
        <v>57.52</v>
      </c>
      <c r="L15" s="16">
        <f t="shared" si="3"/>
        <v>91.97999999999999</v>
      </c>
      <c r="M15" s="14">
        <v>86.82</v>
      </c>
      <c r="N15" s="14">
        <v>9.01</v>
      </c>
      <c r="O15" s="14">
        <v>56.77000000000001</v>
      </c>
      <c r="P15" s="15">
        <f t="shared" si="4"/>
        <v>152.60000000000002</v>
      </c>
      <c r="Q15" s="14">
        <v>51.839999999999989</v>
      </c>
      <c r="R15" s="14">
        <v>3.5200000000000005</v>
      </c>
      <c r="S15" s="14">
        <v>54.29</v>
      </c>
      <c r="T15" s="15">
        <f t="shared" si="5"/>
        <v>109.64999999999999</v>
      </c>
      <c r="U15" s="16">
        <f t="shared" si="6"/>
        <v>262.25</v>
      </c>
      <c r="V15" s="14">
        <v>0</v>
      </c>
      <c r="W15" s="14">
        <v>0</v>
      </c>
      <c r="X15" s="14">
        <v>0</v>
      </c>
      <c r="Y15" s="15">
        <f t="shared" si="7"/>
        <v>0</v>
      </c>
      <c r="Z15" s="14">
        <v>0</v>
      </c>
      <c r="AA15" s="14">
        <v>16.360000000000003</v>
      </c>
      <c r="AB15" s="14">
        <v>0</v>
      </c>
      <c r="AC15" s="15">
        <f t="shared" si="8"/>
        <v>16.360000000000003</v>
      </c>
      <c r="AD15" s="16">
        <f t="shared" si="9"/>
        <v>16.360000000000003</v>
      </c>
      <c r="AE15" s="13">
        <v>0</v>
      </c>
      <c r="AF15" s="13">
        <v>0</v>
      </c>
      <c r="AG15" s="13">
        <v>0</v>
      </c>
      <c r="AH15" s="17">
        <f t="shared" si="10"/>
        <v>0</v>
      </c>
      <c r="AI15" s="13">
        <v>0</v>
      </c>
      <c r="AJ15" s="13">
        <v>0</v>
      </c>
      <c r="AK15" s="13">
        <v>0</v>
      </c>
      <c r="AL15" s="17">
        <f t="shared" si="11"/>
        <v>0</v>
      </c>
      <c r="AM15" s="18">
        <f t="shared" si="12"/>
        <v>0</v>
      </c>
      <c r="AN15" s="14">
        <v>31.7</v>
      </c>
      <c r="AO15" s="14">
        <v>80.22</v>
      </c>
      <c r="AP15" s="14">
        <v>61.7</v>
      </c>
      <c r="AQ15" s="15">
        <f t="shared" si="13"/>
        <v>173.62</v>
      </c>
      <c r="AR15" s="14">
        <v>114.19</v>
      </c>
      <c r="AS15" s="14">
        <v>0</v>
      </c>
      <c r="AT15" s="14">
        <v>0</v>
      </c>
      <c r="AU15" s="15">
        <f t="shared" si="14"/>
        <v>114.19</v>
      </c>
      <c r="AV15" s="16">
        <f t="shared" si="15"/>
        <v>287.81</v>
      </c>
      <c r="AW15" s="14">
        <v>138.4</v>
      </c>
      <c r="AX15" s="14">
        <v>95.89</v>
      </c>
      <c r="AY15" s="14">
        <v>57.95</v>
      </c>
      <c r="AZ15" s="15">
        <f t="shared" si="16"/>
        <v>292.24</v>
      </c>
      <c r="BA15" s="14">
        <v>117</v>
      </c>
      <c r="BB15" s="14">
        <v>0</v>
      </c>
      <c r="BC15" s="14">
        <v>51.7</v>
      </c>
      <c r="BD15" s="15">
        <f t="shared" si="17"/>
        <v>168.7</v>
      </c>
      <c r="BE15" s="16">
        <f t="shared" si="18"/>
        <v>460.94</v>
      </c>
      <c r="BF15" s="14">
        <v>0</v>
      </c>
      <c r="BG15" s="14">
        <v>0</v>
      </c>
      <c r="BH15" s="14">
        <v>0</v>
      </c>
      <c r="BI15" s="15">
        <f t="shared" si="19"/>
        <v>0</v>
      </c>
      <c r="BJ15" s="14">
        <v>0</v>
      </c>
      <c r="BK15" s="14">
        <v>0</v>
      </c>
      <c r="BL15" s="14">
        <v>0</v>
      </c>
      <c r="BM15" s="15">
        <f t="shared" si="20"/>
        <v>0</v>
      </c>
      <c r="BN15" s="16">
        <f t="shared" si="21"/>
        <v>0</v>
      </c>
      <c r="BO15" s="14">
        <v>178.25</v>
      </c>
      <c r="BP15" s="14">
        <v>88.88</v>
      </c>
      <c r="BQ15" s="14">
        <v>0</v>
      </c>
      <c r="BR15" s="15">
        <f t="shared" si="22"/>
        <v>267.13</v>
      </c>
      <c r="BS15" s="14">
        <v>250</v>
      </c>
      <c r="BT15" s="14">
        <v>57.5</v>
      </c>
      <c r="BU15" s="14">
        <v>54</v>
      </c>
      <c r="BV15" s="15">
        <f t="shared" si="23"/>
        <v>361.5</v>
      </c>
      <c r="BW15" s="16">
        <f t="shared" si="24"/>
        <v>628.63</v>
      </c>
      <c r="BX15" s="14">
        <v>0</v>
      </c>
      <c r="BY15" s="14">
        <v>336</v>
      </c>
      <c r="BZ15" s="14">
        <v>245.03</v>
      </c>
      <c r="CA15" s="15">
        <f t="shared" si="25"/>
        <v>581.03</v>
      </c>
      <c r="CB15" s="14">
        <v>12.25</v>
      </c>
      <c r="CC15" s="14">
        <v>15.84</v>
      </c>
      <c r="CD15" s="14">
        <v>18.940000000000001</v>
      </c>
      <c r="CE15" s="15">
        <f t="shared" si="26"/>
        <v>47.03</v>
      </c>
      <c r="CF15" s="16">
        <f t="shared" si="27"/>
        <v>628.05999999999995</v>
      </c>
    </row>
    <row r="16" spans="1:84">
      <c r="A16" s="13" t="s">
        <v>34</v>
      </c>
      <c r="B16" s="13">
        <v>950</v>
      </c>
      <c r="C16" s="14">
        <f t="shared" si="0"/>
        <v>552.67000000000007</v>
      </c>
      <c r="D16" s="14">
        <v>0</v>
      </c>
      <c r="E16" s="14">
        <v>0</v>
      </c>
      <c r="F16" s="14">
        <v>0</v>
      </c>
      <c r="G16" s="15">
        <f t="shared" si="1"/>
        <v>0</v>
      </c>
      <c r="H16" s="14">
        <v>0</v>
      </c>
      <c r="I16" s="14">
        <v>0</v>
      </c>
      <c r="J16" s="14">
        <v>0</v>
      </c>
      <c r="K16" s="15">
        <f t="shared" si="2"/>
        <v>0</v>
      </c>
      <c r="L16" s="16">
        <f t="shared" si="3"/>
        <v>0</v>
      </c>
      <c r="M16" s="14">
        <v>0</v>
      </c>
      <c r="N16" s="14">
        <v>0</v>
      </c>
      <c r="O16" s="14">
        <v>0</v>
      </c>
      <c r="P16" s="15">
        <f t="shared" si="4"/>
        <v>0</v>
      </c>
      <c r="Q16" s="14">
        <v>0</v>
      </c>
      <c r="R16" s="14">
        <v>0</v>
      </c>
      <c r="S16" s="14">
        <v>0</v>
      </c>
      <c r="T16" s="15">
        <f t="shared" si="5"/>
        <v>0</v>
      </c>
      <c r="U16" s="16">
        <f t="shared" si="6"/>
        <v>0</v>
      </c>
      <c r="V16" s="14">
        <v>0</v>
      </c>
      <c r="W16" s="14">
        <v>0</v>
      </c>
      <c r="X16" s="14">
        <v>0</v>
      </c>
      <c r="Y16" s="15">
        <f t="shared" si="7"/>
        <v>0</v>
      </c>
      <c r="Z16" s="14">
        <v>0</v>
      </c>
      <c r="AA16" s="14">
        <v>0</v>
      </c>
      <c r="AB16" s="14">
        <v>0</v>
      </c>
      <c r="AC16" s="15">
        <f t="shared" si="8"/>
        <v>0</v>
      </c>
      <c r="AD16" s="16">
        <f t="shared" si="9"/>
        <v>0</v>
      </c>
      <c r="AE16" s="13">
        <v>0</v>
      </c>
      <c r="AF16" s="13">
        <v>0</v>
      </c>
      <c r="AG16" s="13">
        <v>0</v>
      </c>
      <c r="AH16" s="17">
        <f t="shared" si="10"/>
        <v>0</v>
      </c>
      <c r="AI16" s="13">
        <v>0</v>
      </c>
      <c r="AJ16" s="13">
        <v>0</v>
      </c>
      <c r="AK16" s="13">
        <v>0</v>
      </c>
      <c r="AL16" s="17">
        <f t="shared" si="11"/>
        <v>0</v>
      </c>
      <c r="AM16" s="18">
        <f t="shared" si="12"/>
        <v>0</v>
      </c>
      <c r="AN16" s="14"/>
      <c r="AO16" s="14">
        <v>0</v>
      </c>
      <c r="AP16" s="14">
        <v>0</v>
      </c>
      <c r="AQ16" s="15">
        <f t="shared" si="13"/>
        <v>0</v>
      </c>
      <c r="AR16" s="14">
        <v>0</v>
      </c>
      <c r="AS16" s="14">
        <v>0</v>
      </c>
      <c r="AT16" s="14">
        <v>0</v>
      </c>
      <c r="AU16" s="15">
        <f t="shared" si="14"/>
        <v>0</v>
      </c>
      <c r="AV16" s="16">
        <f t="shared" si="15"/>
        <v>0</v>
      </c>
      <c r="AW16" s="14">
        <v>0</v>
      </c>
      <c r="AX16" s="14">
        <v>0</v>
      </c>
      <c r="AY16" s="14">
        <v>0</v>
      </c>
      <c r="AZ16" s="15">
        <f t="shared" si="16"/>
        <v>0</v>
      </c>
      <c r="BA16" s="14">
        <v>0</v>
      </c>
      <c r="BB16" s="14">
        <v>0</v>
      </c>
      <c r="BC16" s="14">
        <v>0</v>
      </c>
      <c r="BD16" s="15">
        <f t="shared" si="17"/>
        <v>0</v>
      </c>
      <c r="BE16" s="16">
        <f t="shared" si="18"/>
        <v>0</v>
      </c>
      <c r="BF16" s="14">
        <v>10.93</v>
      </c>
      <c r="BG16" s="14">
        <v>0</v>
      </c>
      <c r="BH16" s="14">
        <v>0</v>
      </c>
      <c r="BI16" s="15">
        <f t="shared" si="19"/>
        <v>10.93</v>
      </c>
      <c r="BJ16" s="14">
        <v>8.42</v>
      </c>
      <c r="BK16" s="14">
        <v>16.93</v>
      </c>
      <c r="BL16" s="14">
        <v>11.33</v>
      </c>
      <c r="BM16" s="15">
        <f t="shared" si="20"/>
        <v>36.68</v>
      </c>
      <c r="BN16" s="16">
        <f t="shared" si="21"/>
        <v>47.61</v>
      </c>
      <c r="BO16" s="14">
        <v>0</v>
      </c>
      <c r="BP16" s="14">
        <v>213.97</v>
      </c>
      <c r="BQ16" s="14">
        <v>14.25</v>
      </c>
      <c r="BR16" s="15">
        <f t="shared" si="22"/>
        <v>228.22</v>
      </c>
      <c r="BS16" s="14">
        <v>0</v>
      </c>
      <c r="BT16" s="14">
        <v>0</v>
      </c>
      <c r="BU16" s="14">
        <v>142.5</v>
      </c>
      <c r="BV16" s="15">
        <f t="shared" si="23"/>
        <v>142.5</v>
      </c>
      <c r="BW16" s="16">
        <f t="shared" si="24"/>
        <v>370.72</v>
      </c>
      <c r="BX16" s="14">
        <v>0</v>
      </c>
      <c r="BY16" s="14">
        <v>0</v>
      </c>
      <c r="BZ16" s="14">
        <v>0</v>
      </c>
      <c r="CA16" s="15">
        <f t="shared" si="25"/>
        <v>0</v>
      </c>
      <c r="CB16" s="14">
        <v>0.7</v>
      </c>
      <c r="CC16" s="14">
        <v>126.64</v>
      </c>
      <c r="CD16" s="14">
        <v>7</v>
      </c>
      <c r="CE16" s="15">
        <f t="shared" si="26"/>
        <v>134.34</v>
      </c>
      <c r="CF16" s="16">
        <f t="shared" si="27"/>
        <v>134.34</v>
      </c>
    </row>
    <row r="17" spans="1:84">
      <c r="A17" s="13" t="s">
        <v>35</v>
      </c>
      <c r="B17" s="13">
        <v>4198</v>
      </c>
      <c r="C17" s="14">
        <f t="shared" si="0"/>
        <v>2082.3199999999997</v>
      </c>
      <c r="D17" s="14">
        <v>128.27000000000001</v>
      </c>
      <c r="E17" s="14">
        <v>90.70999999999998</v>
      </c>
      <c r="F17" s="14">
        <v>20.63</v>
      </c>
      <c r="G17" s="15">
        <f t="shared" si="1"/>
        <v>239.60999999999999</v>
      </c>
      <c r="H17" s="14">
        <v>10.48</v>
      </c>
      <c r="I17" s="14">
        <v>44.64</v>
      </c>
      <c r="J17" s="14">
        <v>17.98</v>
      </c>
      <c r="K17" s="15">
        <f t="shared" si="2"/>
        <v>73.100000000000009</v>
      </c>
      <c r="L17" s="16">
        <f t="shared" si="3"/>
        <v>312.70999999999998</v>
      </c>
      <c r="M17" s="14">
        <v>2.2300000000000004</v>
      </c>
      <c r="N17" s="14">
        <v>8.64</v>
      </c>
      <c r="O17" s="14">
        <v>0</v>
      </c>
      <c r="P17" s="15">
        <f t="shared" si="4"/>
        <v>10.870000000000001</v>
      </c>
      <c r="Q17" s="14">
        <v>1.37</v>
      </c>
      <c r="R17" s="14">
        <v>24</v>
      </c>
      <c r="S17" s="14">
        <v>8.67</v>
      </c>
      <c r="T17" s="15">
        <f t="shared" si="5"/>
        <v>34.04</v>
      </c>
      <c r="U17" s="16">
        <f t="shared" si="6"/>
        <v>44.91</v>
      </c>
      <c r="V17" s="14">
        <v>8.32</v>
      </c>
      <c r="W17" s="14">
        <v>5.6000000000000005</v>
      </c>
      <c r="X17" s="14">
        <v>8.11</v>
      </c>
      <c r="Y17" s="15">
        <f t="shared" si="7"/>
        <v>22.03</v>
      </c>
      <c r="Z17" s="14">
        <v>7.12</v>
      </c>
      <c r="AA17" s="14">
        <v>25.909999999999997</v>
      </c>
      <c r="AB17" s="14">
        <v>16.82</v>
      </c>
      <c r="AC17" s="15">
        <f t="shared" si="8"/>
        <v>49.849999999999994</v>
      </c>
      <c r="AD17" s="16">
        <f t="shared" si="9"/>
        <v>71.88</v>
      </c>
      <c r="AE17" s="13">
        <v>0</v>
      </c>
      <c r="AF17" s="13">
        <v>0</v>
      </c>
      <c r="AG17" s="13">
        <v>0</v>
      </c>
      <c r="AH17" s="17">
        <f t="shared" si="10"/>
        <v>0</v>
      </c>
      <c r="AI17" s="13">
        <v>0</v>
      </c>
      <c r="AJ17" s="13">
        <v>0</v>
      </c>
      <c r="AK17" s="13">
        <v>0</v>
      </c>
      <c r="AL17" s="17">
        <f t="shared" si="11"/>
        <v>0</v>
      </c>
      <c r="AM17" s="18">
        <f t="shared" si="12"/>
        <v>0</v>
      </c>
      <c r="AN17" s="14">
        <v>264</v>
      </c>
      <c r="AO17" s="14">
        <v>0</v>
      </c>
      <c r="AP17" s="14">
        <v>0</v>
      </c>
      <c r="AQ17" s="15">
        <f t="shared" si="13"/>
        <v>264</v>
      </c>
      <c r="AR17" s="14">
        <v>629.08999999999992</v>
      </c>
      <c r="AS17" s="14">
        <v>0</v>
      </c>
      <c r="AT17" s="14">
        <v>24.75</v>
      </c>
      <c r="AU17" s="15">
        <f t="shared" si="14"/>
        <v>653.83999999999992</v>
      </c>
      <c r="AV17" s="16">
        <f t="shared" si="15"/>
        <v>917.83999999999992</v>
      </c>
      <c r="AW17" s="14">
        <v>0</v>
      </c>
      <c r="AX17" s="14">
        <v>0</v>
      </c>
      <c r="AY17" s="14">
        <v>0</v>
      </c>
      <c r="AZ17" s="15">
        <f t="shared" si="16"/>
        <v>0</v>
      </c>
      <c r="BA17" s="14">
        <v>0</v>
      </c>
      <c r="BB17" s="14">
        <v>701.8</v>
      </c>
      <c r="BC17" s="14">
        <v>0</v>
      </c>
      <c r="BD17" s="15">
        <f t="shared" si="17"/>
        <v>701.8</v>
      </c>
      <c r="BE17" s="16">
        <f t="shared" si="18"/>
        <v>701.8</v>
      </c>
      <c r="BF17" s="14">
        <v>0.62000000000000011</v>
      </c>
      <c r="BG17" s="14">
        <v>0</v>
      </c>
      <c r="BH17" s="14">
        <v>6.35</v>
      </c>
      <c r="BI17" s="15">
        <f t="shared" si="19"/>
        <v>6.97</v>
      </c>
      <c r="BJ17" s="14">
        <v>0</v>
      </c>
      <c r="BK17" s="14">
        <v>0</v>
      </c>
      <c r="BL17" s="14">
        <v>0</v>
      </c>
      <c r="BM17" s="15">
        <f t="shared" si="20"/>
        <v>0</v>
      </c>
      <c r="BN17" s="16">
        <f t="shared" si="21"/>
        <v>6.97</v>
      </c>
      <c r="BO17" s="14">
        <v>4.93</v>
      </c>
      <c r="BP17" s="14">
        <v>0</v>
      </c>
      <c r="BQ17" s="14">
        <v>0</v>
      </c>
      <c r="BR17" s="15">
        <f t="shared" si="22"/>
        <v>4.93</v>
      </c>
      <c r="BS17" s="14">
        <v>0</v>
      </c>
      <c r="BT17" s="14">
        <v>0</v>
      </c>
      <c r="BU17" s="14">
        <v>0</v>
      </c>
      <c r="BV17" s="15">
        <f t="shared" si="23"/>
        <v>0</v>
      </c>
      <c r="BW17" s="16">
        <f t="shared" si="24"/>
        <v>4.93</v>
      </c>
      <c r="BX17" s="14">
        <v>9.620000000000001</v>
      </c>
      <c r="BY17" s="14">
        <v>0</v>
      </c>
      <c r="BZ17" s="14">
        <v>0</v>
      </c>
      <c r="CA17" s="15">
        <f t="shared" si="25"/>
        <v>9.620000000000001</v>
      </c>
      <c r="CB17" s="14">
        <v>8.01</v>
      </c>
      <c r="CC17" s="14">
        <v>0</v>
      </c>
      <c r="CD17" s="14">
        <v>3.6500000000000004</v>
      </c>
      <c r="CE17" s="15">
        <f t="shared" si="26"/>
        <v>11.66</v>
      </c>
      <c r="CF17" s="16">
        <f t="shared" si="27"/>
        <v>21.28</v>
      </c>
    </row>
    <row r="18" spans="1:84">
      <c r="A18" s="13" t="s">
        <v>36</v>
      </c>
      <c r="B18" s="13">
        <v>4345</v>
      </c>
      <c r="C18" s="14">
        <f t="shared" si="0"/>
        <v>1747.73</v>
      </c>
      <c r="D18" s="14">
        <v>37.620000000000005</v>
      </c>
      <c r="E18" s="14">
        <v>39.260000000000005</v>
      </c>
      <c r="F18" s="14">
        <v>22.37</v>
      </c>
      <c r="G18" s="15">
        <f t="shared" si="1"/>
        <v>99.250000000000014</v>
      </c>
      <c r="H18" s="14">
        <v>16.760000000000002</v>
      </c>
      <c r="I18" s="14">
        <v>22.039999999999996</v>
      </c>
      <c r="J18" s="14">
        <v>24.199999999999996</v>
      </c>
      <c r="K18" s="15">
        <f t="shared" si="2"/>
        <v>62.999999999999993</v>
      </c>
      <c r="L18" s="16">
        <f t="shared" si="3"/>
        <v>162.25</v>
      </c>
      <c r="M18" s="14">
        <v>7.2299999999999995</v>
      </c>
      <c r="N18" s="14">
        <v>34.230000000000004</v>
      </c>
      <c r="O18" s="14">
        <v>6.3800000000000008</v>
      </c>
      <c r="P18" s="15">
        <f t="shared" si="4"/>
        <v>47.84</v>
      </c>
      <c r="Q18" s="14">
        <v>28.109999999999996</v>
      </c>
      <c r="R18" s="14">
        <v>3.0700000000000003</v>
      </c>
      <c r="S18" s="14">
        <v>19.359999999999996</v>
      </c>
      <c r="T18" s="15">
        <f t="shared" si="5"/>
        <v>50.539999999999992</v>
      </c>
      <c r="U18" s="16">
        <f t="shared" si="6"/>
        <v>98.38</v>
      </c>
      <c r="V18" s="14">
        <v>0</v>
      </c>
      <c r="W18" s="14">
        <v>16.25</v>
      </c>
      <c r="X18" s="14">
        <v>0</v>
      </c>
      <c r="Y18" s="15">
        <f t="shared" si="7"/>
        <v>16.25</v>
      </c>
      <c r="Z18" s="14">
        <v>0</v>
      </c>
      <c r="AA18" s="14">
        <v>0</v>
      </c>
      <c r="AB18" s="14">
        <v>0</v>
      </c>
      <c r="AC18" s="15">
        <f t="shared" si="8"/>
        <v>0</v>
      </c>
      <c r="AD18" s="16">
        <f t="shared" si="9"/>
        <v>16.25</v>
      </c>
      <c r="AE18" s="13">
        <v>0</v>
      </c>
      <c r="AF18" s="13">
        <v>0</v>
      </c>
      <c r="AG18" s="13">
        <v>0</v>
      </c>
      <c r="AH18" s="17">
        <f t="shared" si="10"/>
        <v>0</v>
      </c>
      <c r="AI18" s="13">
        <v>0</v>
      </c>
      <c r="AJ18" s="13">
        <v>0</v>
      </c>
      <c r="AK18" s="13">
        <v>0</v>
      </c>
      <c r="AL18" s="17">
        <f t="shared" si="11"/>
        <v>0</v>
      </c>
      <c r="AM18" s="18">
        <f t="shared" si="12"/>
        <v>0</v>
      </c>
      <c r="AN18" s="14">
        <v>580.26</v>
      </c>
      <c r="AO18" s="14">
        <v>545.91000000000008</v>
      </c>
      <c r="AP18" s="14">
        <v>16.2</v>
      </c>
      <c r="AQ18" s="15">
        <f t="shared" si="13"/>
        <v>1142.3700000000001</v>
      </c>
      <c r="AR18" s="14">
        <v>0</v>
      </c>
      <c r="AS18" s="14">
        <v>41.55</v>
      </c>
      <c r="AT18" s="14">
        <v>262.18</v>
      </c>
      <c r="AU18" s="15">
        <f t="shared" si="14"/>
        <v>303.73</v>
      </c>
      <c r="AV18" s="16">
        <f t="shared" si="15"/>
        <v>1446.1000000000001</v>
      </c>
      <c r="AW18" s="14">
        <v>0</v>
      </c>
      <c r="AX18" s="14">
        <v>0</v>
      </c>
      <c r="AY18" s="14">
        <v>24.75</v>
      </c>
      <c r="AZ18" s="15">
        <f t="shared" si="16"/>
        <v>24.75</v>
      </c>
      <c r="BA18" s="14">
        <v>0</v>
      </c>
      <c r="BB18" s="14">
        <v>0</v>
      </c>
      <c r="BC18" s="14">
        <v>0</v>
      </c>
      <c r="BD18" s="15">
        <f t="shared" si="17"/>
        <v>0</v>
      </c>
      <c r="BE18" s="16">
        <f t="shared" si="18"/>
        <v>24.75</v>
      </c>
      <c r="BF18" s="14">
        <v>0</v>
      </c>
      <c r="BG18" s="14">
        <v>0</v>
      </c>
      <c r="BH18" s="14">
        <v>0</v>
      </c>
      <c r="BI18" s="15">
        <f t="shared" si="19"/>
        <v>0</v>
      </c>
      <c r="BJ18" s="14">
        <v>0</v>
      </c>
      <c r="BK18" s="14">
        <v>0</v>
      </c>
      <c r="BL18" s="14">
        <v>0</v>
      </c>
      <c r="BM18" s="15">
        <f t="shared" si="20"/>
        <v>0</v>
      </c>
      <c r="BN18" s="16">
        <f t="shared" si="21"/>
        <v>0</v>
      </c>
      <c r="BO18" s="14">
        <v>0</v>
      </c>
      <c r="BP18" s="14">
        <v>0</v>
      </c>
      <c r="BQ18" s="14">
        <v>0</v>
      </c>
      <c r="BR18" s="15">
        <f t="shared" si="22"/>
        <v>0</v>
      </c>
      <c r="BS18" s="14">
        <v>0</v>
      </c>
      <c r="BT18" s="14">
        <v>0</v>
      </c>
      <c r="BU18" s="14">
        <v>0</v>
      </c>
      <c r="BV18" s="15">
        <f t="shared" si="23"/>
        <v>0</v>
      </c>
      <c r="BW18" s="16">
        <f t="shared" si="24"/>
        <v>0</v>
      </c>
      <c r="BX18" s="14">
        <v>0</v>
      </c>
      <c r="BY18" s="14">
        <v>0</v>
      </c>
      <c r="BZ18" s="14">
        <v>0</v>
      </c>
      <c r="CA18" s="15">
        <f t="shared" si="25"/>
        <v>0</v>
      </c>
      <c r="CB18" s="14">
        <v>0</v>
      </c>
      <c r="CC18" s="14">
        <v>0</v>
      </c>
      <c r="CD18" s="14">
        <v>0</v>
      </c>
      <c r="CE18" s="15">
        <f t="shared" si="26"/>
        <v>0</v>
      </c>
      <c r="CF18" s="16">
        <f t="shared" si="27"/>
        <v>0</v>
      </c>
    </row>
    <row r="19" spans="1:84">
      <c r="A19" s="19" t="s">
        <v>37</v>
      </c>
      <c r="B19" s="19">
        <f>SUM(B5:B18)</f>
        <v>77939</v>
      </c>
      <c r="C19" s="20">
        <f>SUM(C5:C18)</f>
        <v>34785.85</v>
      </c>
      <c r="D19" s="20">
        <f>SUM(D5:D18)</f>
        <v>473.13</v>
      </c>
      <c r="E19" s="20">
        <f>SUM(E5:E18)</f>
        <v>489.34</v>
      </c>
      <c r="F19" s="20">
        <f>SUM(F5:F18)</f>
        <v>126.72</v>
      </c>
      <c r="G19" s="21">
        <f t="shared" si="1"/>
        <v>1089.19</v>
      </c>
      <c r="H19" s="20">
        <f>SUM(H5:H18)</f>
        <v>396.02999999999992</v>
      </c>
      <c r="I19" s="20">
        <f t="shared" ref="I19" si="28">SUM(I5:I18)</f>
        <v>269.92</v>
      </c>
      <c r="J19" s="20">
        <f>SUM(J5:J18)</f>
        <v>436.88000000000011</v>
      </c>
      <c r="K19" s="21">
        <f t="shared" si="2"/>
        <v>1102.83</v>
      </c>
      <c r="L19" s="22">
        <f t="shared" si="3"/>
        <v>2192.02</v>
      </c>
      <c r="M19" s="20">
        <f>SUM(M5:M18)</f>
        <v>698.96</v>
      </c>
      <c r="N19" s="20">
        <f t="shared" ref="N19:U19" si="29">SUM(N5:N18)</f>
        <v>1153.2200000000003</v>
      </c>
      <c r="O19" s="20">
        <f t="shared" si="29"/>
        <v>271.7</v>
      </c>
      <c r="P19" s="21">
        <f t="shared" si="29"/>
        <v>2123.88</v>
      </c>
      <c r="Q19" s="20">
        <f t="shared" si="29"/>
        <v>936.2399999999999</v>
      </c>
      <c r="R19" s="20">
        <f t="shared" si="29"/>
        <v>930.31999999999971</v>
      </c>
      <c r="S19" s="20">
        <f t="shared" si="29"/>
        <v>984.35999999999956</v>
      </c>
      <c r="T19" s="21">
        <f t="shared" si="29"/>
        <v>2850.9199999999996</v>
      </c>
      <c r="U19" s="22">
        <f t="shared" si="29"/>
        <v>4974.7999999999993</v>
      </c>
      <c r="V19" s="20">
        <f>SUM(V5:V18)</f>
        <v>59.56</v>
      </c>
      <c r="W19" s="20">
        <f t="shared" ref="W19:Y19" si="30">SUM(W5:W18)</f>
        <v>70.12</v>
      </c>
      <c r="X19" s="20">
        <f t="shared" si="30"/>
        <v>41.25</v>
      </c>
      <c r="Y19" s="21">
        <f t="shared" si="30"/>
        <v>170.93</v>
      </c>
      <c r="Z19" s="20">
        <f>SUM(Z5:Z18)</f>
        <v>61.879999999999995</v>
      </c>
      <c r="AA19" s="20">
        <f>SUM(AA5:AA18)</f>
        <v>92.14</v>
      </c>
      <c r="AB19" s="20">
        <f>SUM(AB5:AB18)</f>
        <v>46.65</v>
      </c>
      <c r="AC19" s="21">
        <f t="shared" si="8"/>
        <v>200.67</v>
      </c>
      <c r="AD19" s="22">
        <f t="shared" si="9"/>
        <v>371.6</v>
      </c>
      <c r="AE19" s="20">
        <f>SUM(AE5:AE18)</f>
        <v>597.86</v>
      </c>
      <c r="AF19" s="20">
        <f>SUM(AF5:AF18)</f>
        <v>0</v>
      </c>
      <c r="AG19" s="20">
        <f>SUM(AG5:AG18)</f>
        <v>0</v>
      </c>
      <c r="AH19" s="21">
        <f t="shared" si="10"/>
        <v>597.86</v>
      </c>
      <c r="AI19" s="20">
        <f t="shared" ref="AI19:AK19" si="31">SUM(AI5:AI18)</f>
        <v>598.70000000000005</v>
      </c>
      <c r="AJ19" s="20">
        <f t="shared" si="31"/>
        <v>0</v>
      </c>
      <c r="AK19" s="20">
        <f t="shared" si="31"/>
        <v>1317.13</v>
      </c>
      <c r="AL19" s="21">
        <f t="shared" si="11"/>
        <v>1915.8300000000002</v>
      </c>
      <c r="AM19" s="22">
        <f t="shared" si="12"/>
        <v>2513.69</v>
      </c>
      <c r="AN19" s="20">
        <f>SUM(AN5:AN18)</f>
        <v>1723.77</v>
      </c>
      <c r="AO19" s="20">
        <f t="shared" ref="AO19:AQ19" si="32">SUM(AO5:AO18)</f>
        <v>1048.08</v>
      </c>
      <c r="AP19" s="20">
        <f t="shared" si="32"/>
        <v>523.23</v>
      </c>
      <c r="AQ19" s="21">
        <f t="shared" si="32"/>
        <v>3295.08</v>
      </c>
      <c r="AR19" s="20">
        <f>SUM(AR5:AR18)</f>
        <v>1363.01</v>
      </c>
      <c r="AS19" s="20">
        <f t="shared" ref="AS19:AU19" si="33">SUM(AS5:AS18)</f>
        <v>822.04</v>
      </c>
      <c r="AT19" s="20">
        <f t="shared" si="33"/>
        <v>1287.8899999999999</v>
      </c>
      <c r="AU19" s="21">
        <f t="shared" si="33"/>
        <v>3472.94</v>
      </c>
      <c r="AV19" s="22">
        <f t="shared" si="15"/>
        <v>6768.02</v>
      </c>
      <c r="AW19" s="20">
        <f>SUM(AW5:AW18)</f>
        <v>997.70999999999992</v>
      </c>
      <c r="AX19" s="20">
        <f t="shared" ref="AX19:BE19" si="34">SUM(AX5:AX18)</f>
        <v>288.14</v>
      </c>
      <c r="AY19" s="20">
        <f t="shared" si="34"/>
        <v>656.1</v>
      </c>
      <c r="AZ19" s="21">
        <f t="shared" si="34"/>
        <v>1941.9499999999998</v>
      </c>
      <c r="BA19" s="20">
        <f t="shared" si="34"/>
        <v>1225.6399999999999</v>
      </c>
      <c r="BB19" s="20">
        <f t="shared" si="34"/>
        <v>1201.6999999999998</v>
      </c>
      <c r="BC19" s="20">
        <f t="shared" si="34"/>
        <v>1294.4399999999998</v>
      </c>
      <c r="BD19" s="21">
        <f t="shared" si="34"/>
        <v>3721.7799999999997</v>
      </c>
      <c r="BE19" s="22">
        <f t="shared" si="34"/>
        <v>5663.73</v>
      </c>
      <c r="BF19" s="20">
        <f>SUM(BF5:BF18)</f>
        <v>71.050000000000011</v>
      </c>
      <c r="BG19" s="20">
        <f t="shared" ref="BG19:BI19" si="35">SUM(BG5:BG18)</f>
        <v>66.889999999999986</v>
      </c>
      <c r="BH19" s="20">
        <f t="shared" si="35"/>
        <v>43.43</v>
      </c>
      <c r="BI19" s="21">
        <f t="shared" si="35"/>
        <v>181.37</v>
      </c>
      <c r="BJ19" s="20">
        <f>SUM(BJ5:BJ18)</f>
        <v>58.480000000000004</v>
      </c>
      <c r="BK19" s="20">
        <f t="shared" ref="BK19:BL19" si="36">SUM(BK5:BK18)</f>
        <v>98.47</v>
      </c>
      <c r="BL19" s="20">
        <f t="shared" si="36"/>
        <v>83.059999999999988</v>
      </c>
      <c r="BM19" s="21">
        <f t="shared" si="20"/>
        <v>240.01</v>
      </c>
      <c r="BN19" s="22">
        <f t="shared" si="21"/>
        <v>421.38</v>
      </c>
      <c r="BO19" s="20">
        <f>SUM(BO5:BO18)</f>
        <v>4278.43</v>
      </c>
      <c r="BP19" s="20">
        <f t="shared" ref="BP19:BR19" si="37">SUM(BP5:BP18)</f>
        <v>2463.1799999999998</v>
      </c>
      <c r="BQ19" s="20">
        <f t="shared" si="37"/>
        <v>1453.8500000000001</v>
      </c>
      <c r="BR19" s="21">
        <f t="shared" si="37"/>
        <v>8195.4600000000009</v>
      </c>
      <c r="BS19" s="20">
        <f>SUM(BS5:BS18)</f>
        <v>733.09999999999991</v>
      </c>
      <c r="BT19" s="20">
        <f t="shared" ref="BT19:BW19" si="38">SUM(BT5:BT18)</f>
        <v>533.6099999999999</v>
      </c>
      <c r="BU19" s="20">
        <f t="shared" si="38"/>
        <v>1221.49</v>
      </c>
      <c r="BV19" s="21">
        <f t="shared" si="38"/>
        <v>2488.2000000000003</v>
      </c>
      <c r="BW19" s="22">
        <f t="shared" si="38"/>
        <v>10683.659999999998</v>
      </c>
      <c r="BX19" s="20">
        <f>SUM(BX5:BX18)</f>
        <v>64.340000000000018</v>
      </c>
      <c r="BY19" s="20">
        <f t="shared" ref="BY19:CF19" si="39">SUM(BY5:BY18)</f>
        <v>386.14</v>
      </c>
      <c r="BZ19" s="20">
        <f t="shared" si="39"/>
        <v>323.87</v>
      </c>
      <c r="CA19" s="21">
        <f t="shared" si="39"/>
        <v>774.35</v>
      </c>
      <c r="CB19" s="20">
        <f t="shared" si="39"/>
        <v>59.449999999999996</v>
      </c>
      <c r="CC19" s="20">
        <f t="shared" si="39"/>
        <v>199.11</v>
      </c>
      <c r="CD19" s="20">
        <f t="shared" si="39"/>
        <v>164.04000000000002</v>
      </c>
      <c r="CE19" s="21">
        <f t="shared" si="39"/>
        <v>422.59999999999997</v>
      </c>
      <c r="CF19" s="22">
        <f t="shared" si="39"/>
        <v>1196.9499999999998</v>
      </c>
    </row>
    <row r="22" spans="1:84">
      <c r="A22" s="23" t="s">
        <v>38</v>
      </c>
      <c r="B22" s="23" t="s">
        <v>39</v>
      </c>
      <c r="C22" s="23" t="s">
        <v>3</v>
      </c>
      <c r="D22" s="23" t="s">
        <v>4</v>
      </c>
      <c r="E22" s="23" t="s">
        <v>14</v>
      </c>
      <c r="F22" s="23" t="s">
        <v>15</v>
      </c>
      <c r="G22" s="23" t="s">
        <v>16</v>
      </c>
      <c r="H22" s="24" t="s">
        <v>17</v>
      </c>
      <c r="I22" s="23" t="s">
        <v>18</v>
      </c>
      <c r="J22" s="23" t="s">
        <v>19</v>
      </c>
      <c r="K22" s="23" t="s">
        <v>20</v>
      </c>
      <c r="L22" s="24" t="s">
        <v>21</v>
      </c>
      <c r="M22" s="25" t="s">
        <v>22</v>
      </c>
    </row>
    <row r="23" spans="1:84">
      <c r="A23" s="26" t="s">
        <v>40</v>
      </c>
      <c r="B23" s="13" t="s">
        <v>41</v>
      </c>
      <c r="C23" s="13">
        <v>6750</v>
      </c>
      <c r="D23" s="14">
        <f>H23+L23</f>
        <v>2230.4700000000003</v>
      </c>
      <c r="E23" s="14">
        <v>336.40999999999997</v>
      </c>
      <c r="F23" s="14">
        <v>588.31000000000006</v>
      </c>
      <c r="G23" s="14">
        <v>200.78</v>
      </c>
      <c r="H23" s="27">
        <f>SUM(E23:G23)</f>
        <v>1125.5</v>
      </c>
      <c r="I23" s="14">
        <v>400.91</v>
      </c>
      <c r="J23" s="14">
        <v>68.449999999999989</v>
      </c>
      <c r="K23" s="14">
        <v>635.61</v>
      </c>
      <c r="L23" s="27">
        <f>SUM(I23:K23)</f>
        <v>1104.97</v>
      </c>
      <c r="M23" s="28">
        <f>H23+L23</f>
        <v>2230.4700000000003</v>
      </c>
    </row>
    <row r="24" spans="1:84">
      <c r="A24" s="26"/>
      <c r="B24" s="13" t="s">
        <v>42</v>
      </c>
      <c r="C24" s="13">
        <v>900</v>
      </c>
      <c r="D24" s="14">
        <f>H24+L24</f>
        <v>725.3</v>
      </c>
      <c r="E24" s="14">
        <v>329.5</v>
      </c>
      <c r="F24" s="14">
        <v>0</v>
      </c>
      <c r="G24" s="14">
        <v>0</v>
      </c>
      <c r="H24" s="27">
        <f t="shared" ref="H24:H39" si="40">SUM(E24:G24)</f>
        <v>329.5</v>
      </c>
      <c r="I24" s="14">
        <v>395.8</v>
      </c>
      <c r="J24" s="14">
        <v>0</v>
      </c>
      <c r="K24" s="14">
        <v>0</v>
      </c>
      <c r="L24" s="27">
        <f t="shared" ref="L24:L39" si="41">SUM(I24:K24)</f>
        <v>395.8</v>
      </c>
      <c r="M24" s="28">
        <f t="shared" ref="M24:M39" si="42">H24+L24</f>
        <v>725.3</v>
      </c>
    </row>
    <row r="25" spans="1:84">
      <c r="A25" s="26"/>
      <c r="B25" s="13" t="s">
        <v>43</v>
      </c>
      <c r="C25" s="13">
        <v>4463</v>
      </c>
      <c r="D25" s="14">
        <f>H25+L25</f>
        <v>1817.2099999999998</v>
      </c>
      <c r="E25" s="14">
        <v>621.95999999999992</v>
      </c>
      <c r="F25" s="14">
        <v>259.18</v>
      </c>
      <c r="G25" s="14">
        <v>16.2</v>
      </c>
      <c r="H25" s="27">
        <f t="shared" si="40"/>
        <v>897.33999999999992</v>
      </c>
      <c r="I25" s="14">
        <v>341.25</v>
      </c>
      <c r="J25" s="14">
        <v>213.29000000000002</v>
      </c>
      <c r="K25" s="14">
        <v>365.33</v>
      </c>
      <c r="L25" s="27">
        <f t="shared" si="41"/>
        <v>919.86999999999989</v>
      </c>
      <c r="M25" s="28">
        <f t="shared" si="42"/>
        <v>1817.2099999999998</v>
      </c>
    </row>
    <row r="26" spans="1:84">
      <c r="A26" s="26"/>
      <c r="B26" s="13" t="s">
        <v>44</v>
      </c>
      <c r="C26" s="13">
        <v>3300</v>
      </c>
      <c r="D26" s="14">
        <f>H26+L26</f>
        <v>1995.04</v>
      </c>
      <c r="E26" s="14">
        <v>435.9</v>
      </c>
      <c r="F26" s="14">
        <v>200.58999999999997</v>
      </c>
      <c r="G26" s="14">
        <v>306.25</v>
      </c>
      <c r="H26" s="27">
        <f t="shared" si="40"/>
        <v>942.74</v>
      </c>
      <c r="I26" s="14">
        <v>225.05</v>
      </c>
      <c r="J26" s="14">
        <v>540.29999999999995</v>
      </c>
      <c r="K26" s="14">
        <v>286.95</v>
      </c>
      <c r="L26" s="27">
        <f t="shared" si="41"/>
        <v>1052.3</v>
      </c>
      <c r="M26" s="28">
        <f t="shared" si="42"/>
        <v>1995.04</v>
      </c>
    </row>
    <row r="27" spans="1:84">
      <c r="A27" s="26"/>
      <c r="B27" s="19" t="s">
        <v>22</v>
      </c>
      <c r="C27" s="19">
        <f>SUM(C23:C26)</f>
        <v>15413</v>
      </c>
      <c r="D27" s="20">
        <f>SUM(D23:D26)</f>
        <v>6768.02</v>
      </c>
      <c r="E27" s="20">
        <f>SUM(E23:E26)</f>
        <v>1723.77</v>
      </c>
      <c r="F27" s="20">
        <f t="shared" ref="F27:M27" si="43">SUM(F23:F26)</f>
        <v>1048.08</v>
      </c>
      <c r="G27" s="20">
        <f t="shared" si="43"/>
        <v>523.23</v>
      </c>
      <c r="H27" s="21">
        <f t="shared" si="43"/>
        <v>3295.08</v>
      </c>
      <c r="I27" s="20">
        <f t="shared" si="43"/>
        <v>1363.01</v>
      </c>
      <c r="J27" s="20">
        <f t="shared" si="43"/>
        <v>822.04</v>
      </c>
      <c r="K27" s="20">
        <f t="shared" si="43"/>
        <v>1287.8900000000001</v>
      </c>
      <c r="L27" s="21">
        <f t="shared" si="43"/>
        <v>3472.9399999999996</v>
      </c>
      <c r="M27" s="22">
        <f t="shared" si="43"/>
        <v>6768.02</v>
      </c>
    </row>
    <row r="28" spans="1:84">
      <c r="A28" s="13" t="s">
        <v>45</v>
      </c>
      <c r="B28" s="13" t="s">
        <v>5</v>
      </c>
      <c r="C28" s="13">
        <v>5300</v>
      </c>
      <c r="D28" s="14">
        <f>H28+L28</f>
        <v>2192.0199999999995</v>
      </c>
      <c r="E28" s="14">
        <v>473.13</v>
      </c>
      <c r="F28" s="14">
        <v>489.33999999999986</v>
      </c>
      <c r="G28" s="14">
        <v>126.72</v>
      </c>
      <c r="H28" s="27">
        <f t="shared" si="40"/>
        <v>1089.1899999999998</v>
      </c>
      <c r="I28" s="14">
        <v>396.03000000000003</v>
      </c>
      <c r="J28" s="14">
        <v>269.9199999999999</v>
      </c>
      <c r="K28" s="14">
        <v>436.88000000000011</v>
      </c>
      <c r="L28" s="27">
        <f t="shared" si="41"/>
        <v>1102.83</v>
      </c>
      <c r="M28" s="28">
        <f t="shared" si="42"/>
        <v>2192.0199999999995</v>
      </c>
    </row>
    <row r="29" spans="1:84">
      <c r="A29" s="26" t="s">
        <v>46</v>
      </c>
      <c r="B29" s="13" t="s">
        <v>47</v>
      </c>
      <c r="C29" s="13">
        <v>3400</v>
      </c>
      <c r="D29" s="14">
        <f>H29+L29</f>
        <v>1144.56</v>
      </c>
      <c r="E29" s="14">
        <v>323.88</v>
      </c>
      <c r="F29" s="14">
        <v>42.23</v>
      </c>
      <c r="G29" s="14">
        <v>166.25</v>
      </c>
      <c r="H29" s="27">
        <f t="shared" si="40"/>
        <v>532.36</v>
      </c>
      <c r="I29" s="14">
        <v>256</v>
      </c>
      <c r="J29" s="14">
        <v>150</v>
      </c>
      <c r="K29" s="14">
        <v>206.2</v>
      </c>
      <c r="L29" s="27">
        <f t="shared" si="41"/>
        <v>612.20000000000005</v>
      </c>
      <c r="M29" s="28">
        <f t="shared" si="42"/>
        <v>1144.56</v>
      </c>
    </row>
    <row r="30" spans="1:84">
      <c r="A30" s="26"/>
      <c r="B30" s="13" t="s">
        <v>48</v>
      </c>
      <c r="C30" s="13">
        <v>22800</v>
      </c>
      <c r="D30" s="14">
        <f>H30+L30</f>
        <v>9539.1</v>
      </c>
      <c r="E30" s="14">
        <v>3954.5499999999997</v>
      </c>
      <c r="F30" s="14">
        <v>2420.9500000000003</v>
      </c>
      <c r="G30" s="14">
        <v>1287.5999999999999</v>
      </c>
      <c r="H30" s="27">
        <f t="shared" si="40"/>
        <v>7663.1</v>
      </c>
      <c r="I30" s="14">
        <v>477.1</v>
      </c>
      <c r="J30" s="14">
        <v>383.61</v>
      </c>
      <c r="K30" s="14">
        <v>1015.2900000000001</v>
      </c>
      <c r="L30" s="27">
        <f t="shared" si="41"/>
        <v>1876</v>
      </c>
      <c r="M30" s="28">
        <f t="shared" si="42"/>
        <v>9539.1</v>
      </c>
    </row>
    <row r="31" spans="1:84">
      <c r="A31" s="26"/>
      <c r="B31" s="19" t="s">
        <v>22</v>
      </c>
      <c r="C31" s="19">
        <f>SUM(C29:C30)</f>
        <v>26200</v>
      </c>
      <c r="D31" s="20">
        <f>SUM(D29:D30)</f>
        <v>10683.66</v>
      </c>
      <c r="E31" s="20">
        <f>SUM(E29:E30)</f>
        <v>4278.4299999999994</v>
      </c>
      <c r="F31" s="20">
        <f t="shared" ref="F31:M31" si="44">SUM(F29:F30)</f>
        <v>2463.1800000000003</v>
      </c>
      <c r="G31" s="20">
        <f t="shared" si="44"/>
        <v>1453.85</v>
      </c>
      <c r="H31" s="21">
        <f t="shared" si="44"/>
        <v>8195.4600000000009</v>
      </c>
      <c r="I31" s="20">
        <f t="shared" si="44"/>
        <v>733.1</v>
      </c>
      <c r="J31" s="20">
        <f t="shared" si="44"/>
        <v>533.61</v>
      </c>
      <c r="K31" s="20">
        <f t="shared" si="44"/>
        <v>1221.49</v>
      </c>
      <c r="L31" s="21">
        <f t="shared" si="44"/>
        <v>2488.1999999999998</v>
      </c>
      <c r="M31" s="22">
        <f t="shared" si="44"/>
        <v>10683.66</v>
      </c>
    </row>
    <row r="32" spans="1:84">
      <c r="A32" s="13" t="s">
        <v>49</v>
      </c>
      <c r="B32" s="13" t="s">
        <v>11</v>
      </c>
      <c r="C32" s="13">
        <v>3038</v>
      </c>
      <c r="D32" s="14">
        <f t="shared" ref="D32:D37" si="45">H32+L32</f>
        <v>421.38</v>
      </c>
      <c r="E32" s="14">
        <v>71.05</v>
      </c>
      <c r="F32" s="14">
        <v>66.89</v>
      </c>
      <c r="G32" s="14">
        <v>43.43</v>
      </c>
      <c r="H32" s="27">
        <f>SUM(E32:G32)</f>
        <v>181.37</v>
      </c>
      <c r="I32" s="14">
        <v>58.480000000000004</v>
      </c>
      <c r="J32" s="14">
        <v>98.47</v>
      </c>
      <c r="K32" s="14">
        <v>83.06</v>
      </c>
      <c r="L32" s="27">
        <f>SUM(I32:K32)</f>
        <v>240.01</v>
      </c>
      <c r="M32" s="28">
        <f>H32+L32</f>
        <v>421.38</v>
      </c>
    </row>
    <row r="33" spans="1:13">
      <c r="A33" s="13" t="s">
        <v>50</v>
      </c>
      <c r="B33" s="13" t="s">
        <v>51</v>
      </c>
      <c r="C33" s="13">
        <v>12250</v>
      </c>
      <c r="D33" s="14">
        <f t="shared" si="45"/>
        <v>5663.73</v>
      </c>
      <c r="E33" s="14">
        <v>997.71</v>
      </c>
      <c r="F33" s="14">
        <v>288.14</v>
      </c>
      <c r="G33" s="14">
        <v>656.09999999999991</v>
      </c>
      <c r="H33" s="27">
        <f t="shared" si="40"/>
        <v>1941.9499999999998</v>
      </c>
      <c r="I33" s="14">
        <v>1225.6400000000001</v>
      </c>
      <c r="J33" s="14">
        <v>1201.7</v>
      </c>
      <c r="K33" s="14">
        <v>1294.4399999999998</v>
      </c>
      <c r="L33" s="27">
        <f t="shared" si="41"/>
        <v>3721.7799999999997</v>
      </c>
      <c r="M33" s="28">
        <f t="shared" si="42"/>
        <v>5663.73</v>
      </c>
    </row>
    <row r="34" spans="1:13">
      <c r="A34" s="13" t="s">
        <v>52</v>
      </c>
      <c r="B34" s="13" t="s">
        <v>13</v>
      </c>
      <c r="C34" s="13">
        <v>3038</v>
      </c>
      <c r="D34" s="14">
        <f t="shared" si="45"/>
        <v>1196.9499999999998</v>
      </c>
      <c r="E34" s="14">
        <v>64.339999999999989</v>
      </c>
      <c r="F34" s="14">
        <v>386.14</v>
      </c>
      <c r="G34" s="14">
        <v>323.87</v>
      </c>
      <c r="H34" s="27">
        <f t="shared" si="40"/>
        <v>774.34999999999991</v>
      </c>
      <c r="I34" s="14">
        <v>59.45000000000001</v>
      </c>
      <c r="J34" s="14">
        <v>199.10999999999999</v>
      </c>
      <c r="K34" s="14">
        <v>164.03999999999996</v>
      </c>
      <c r="L34" s="27">
        <f t="shared" si="41"/>
        <v>422.59999999999997</v>
      </c>
      <c r="M34" s="28">
        <f t="shared" si="42"/>
        <v>1196.9499999999998</v>
      </c>
    </row>
    <row r="35" spans="1:13">
      <c r="A35" s="26" t="s">
        <v>53</v>
      </c>
      <c r="B35" s="13" t="s">
        <v>8</v>
      </c>
      <c r="C35" s="13">
        <v>1100</v>
      </c>
      <c r="D35" s="14">
        <f t="shared" si="45"/>
        <v>2513.69</v>
      </c>
      <c r="E35" s="14">
        <v>597.86</v>
      </c>
      <c r="F35" s="14"/>
      <c r="G35" s="14"/>
      <c r="H35" s="27">
        <f t="shared" si="40"/>
        <v>597.86</v>
      </c>
      <c r="I35" s="14">
        <v>598.70000000000005</v>
      </c>
      <c r="J35" s="14"/>
      <c r="K35" s="14">
        <v>1317.13</v>
      </c>
      <c r="L35" s="27">
        <f t="shared" si="41"/>
        <v>1915.8300000000002</v>
      </c>
      <c r="M35" s="28">
        <f t="shared" si="42"/>
        <v>2513.69</v>
      </c>
    </row>
    <row r="36" spans="1:13">
      <c r="A36" s="26"/>
      <c r="B36" s="13" t="s">
        <v>7</v>
      </c>
      <c r="C36" s="13"/>
      <c r="D36" s="14">
        <f t="shared" si="45"/>
        <v>371.6</v>
      </c>
      <c r="E36" s="14">
        <v>59.56</v>
      </c>
      <c r="F36" s="14">
        <v>70.120000000000019</v>
      </c>
      <c r="G36" s="14">
        <v>41.250000000000007</v>
      </c>
      <c r="H36" s="27">
        <f t="shared" si="40"/>
        <v>170.93</v>
      </c>
      <c r="I36" s="14">
        <v>61.879999999999988</v>
      </c>
      <c r="J36" s="14">
        <v>92.140000000000015</v>
      </c>
      <c r="K36" s="14">
        <v>46.650000000000006</v>
      </c>
      <c r="L36" s="27">
        <f t="shared" si="41"/>
        <v>200.67000000000002</v>
      </c>
      <c r="M36" s="28">
        <f t="shared" si="42"/>
        <v>371.6</v>
      </c>
    </row>
    <row r="37" spans="1:13">
      <c r="A37" s="26"/>
      <c r="B37" s="13" t="s">
        <v>6</v>
      </c>
      <c r="C37" s="13">
        <v>11600</v>
      </c>
      <c r="D37" s="14">
        <f t="shared" si="45"/>
        <v>4974.7999999999993</v>
      </c>
      <c r="E37" s="14">
        <v>698.95999999999992</v>
      </c>
      <c r="F37" s="14">
        <v>1153.2200000000005</v>
      </c>
      <c r="G37" s="14">
        <v>271.70000000000005</v>
      </c>
      <c r="H37" s="27">
        <f t="shared" si="40"/>
        <v>2123.88</v>
      </c>
      <c r="I37" s="14">
        <v>936.2399999999999</v>
      </c>
      <c r="J37" s="14">
        <v>930.32000000000039</v>
      </c>
      <c r="K37" s="14">
        <v>984.3599999999991</v>
      </c>
      <c r="L37" s="27">
        <f t="shared" si="41"/>
        <v>2850.9199999999996</v>
      </c>
      <c r="M37" s="28">
        <f t="shared" si="42"/>
        <v>4974.7999999999993</v>
      </c>
    </row>
    <row r="38" spans="1:13">
      <c r="A38" s="26"/>
      <c r="B38" s="19" t="s">
        <v>22</v>
      </c>
      <c r="C38" s="19">
        <f>SUM(C35:C37)</f>
        <v>12700</v>
      </c>
      <c r="D38" s="20">
        <f>SUM(D35:D37)</f>
        <v>7860.0899999999992</v>
      </c>
      <c r="E38" s="20">
        <f>SUM(E35:E37)</f>
        <v>1356.38</v>
      </c>
      <c r="F38" s="20">
        <f t="shared" ref="F38:M38" si="46">SUM(F35:F37)</f>
        <v>1223.3400000000006</v>
      </c>
      <c r="G38" s="20">
        <f t="shared" si="46"/>
        <v>312.95000000000005</v>
      </c>
      <c r="H38" s="21">
        <f t="shared" si="46"/>
        <v>2892.67</v>
      </c>
      <c r="I38" s="20">
        <f t="shared" si="46"/>
        <v>1596.82</v>
      </c>
      <c r="J38" s="20">
        <f t="shared" si="46"/>
        <v>1022.4600000000004</v>
      </c>
      <c r="K38" s="20">
        <f t="shared" si="46"/>
        <v>2348.1399999999994</v>
      </c>
      <c r="L38" s="21">
        <f t="shared" si="46"/>
        <v>4967.42</v>
      </c>
      <c r="M38" s="22">
        <f t="shared" si="46"/>
        <v>7860.0899999999992</v>
      </c>
    </row>
    <row r="39" spans="1:13">
      <c r="A39" s="29" t="s">
        <v>37</v>
      </c>
      <c r="B39" s="30"/>
      <c r="C39" s="23">
        <f>C27+C28+C31+C32+C33+C34+C38</f>
        <v>77939</v>
      </c>
      <c r="D39" s="31">
        <f>D27+D28+D31+D32+D33+D34+D38</f>
        <v>34785.85</v>
      </c>
      <c r="E39" s="31">
        <v>8964.81</v>
      </c>
      <c r="F39" s="31">
        <v>5965.1100000000015</v>
      </c>
      <c r="G39" s="31">
        <v>3440.1499999999996</v>
      </c>
      <c r="H39" s="27">
        <f t="shared" si="40"/>
        <v>18370.07</v>
      </c>
      <c r="I39" s="31">
        <v>5432.53</v>
      </c>
      <c r="J39" s="31">
        <v>4147.3099999999995</v>
      </c>
      <c r="K39" s="31">
        <v>6835.9399999999987</v>
      </c>
      <c r="L39" s="27">
        <f t="shared" si="41"/>
        <v>16415.78</v>
      </c>
      <c r="M39" s="28">
        <f t="shared" si="42"/>
        <v>34785.85</v>
      </c>
    </row>
  </sheetData>
  <mergeCells count="17">
    <mergeCell ref="A39:B39"/>
    <mergeCell ref="BF3:BN3"/>
    <mergeCell ref="BO3:BW3"/>
    <mergeCell ref="BX3:CF3"/>
    <mergeCell ref="A23:A27"/>
    <mergeCell ref="A29:A31"/>
    <mergeCell ref="A35:A38"/>
    <mergeCell ref="A1:CF1"/>
    <mergeCell ref="A3:A4"/>
    <mergeCell ref="B3:B4"/>
    <mergeCell ref="C3:C4"/>
    <mergeCell ref="D3:L3"/>
    <mergeCell ref="M3:U3"/>
    <mergeCell ref="V3:AD3"/>
    <mergeCell ref="AE3:AM3"/>
    <mergeCell ref="AN3:AV3"/>
    <mergeCell ref="AW3:B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madan.hs</dc:creator>
  <cp:lastModifiedBy>madan.hs</cp:lastModifiedBy>
  <dcterms:created xsi:type="dcterms:W3CDTF">2026-10-31T08:25:44Z</dcterms:created>
  <dcterms:modified xsi:type="dcterms:W3CDTF">2026-10-31T08:27:24Z</dcterms:modified>
</cp:coreProperties>
</file>