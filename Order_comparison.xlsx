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FL31" i="1"/>
  <c r="FF31"/>
  <c r="EY31"/>
  <c r="ES31"/>
  <c r="EL31"/>
  <c r="EF31"/>
  <c r="DY31"/>
  <c r="DS31"/>
  <c r="DL31"/>
  <c r="DF31"/>
  <c r="CY31"/>
  <c r="CS31"/>
  <c r="CL31"/>
  <c r="CF31"/>
  <c r="BY31"/>
  <c r="BS31"/>
  <c r="BL31"/>
  <c r="BF31"/>
  <c r="AY31"/>
  <c r="AS31"/>
  <c r="AL31"/>
  <c r="AF31"/>
  <c r="Y31"/>
  <c r="S31"/>
  <c r="R31"/>
  <c r="L31"/>
  <c r="G31"/>
  <c r="FL30"/>
  <c r="FF30"/>
  <c r="EY30"/>
  <c r="ES30"/>
  <c r="EL30"/>
  <c r="EF30"/>
  <c r="DY30"/>
  <c r="DS30"/>
  <c r="DL30"/>
  <c r="DF30"/>
  <c r="CY30"/>
  <c r="CS30"/>
  <c r="CL30"/>
  <c r="CF30"/>
  <c r="BY30"/>
  <c r="BS30"/>
  <c r="BL30"/>
  <c r="BF30"/>
  <c r="AY30"/>
  <c r="AS30"/>
  <c r="AL30"/>
  <c r="AF30"/>
  <c r="Y30"/>
  <c r="R30"/>
  <c r="S30" s="1"/>
  <c r="L30"/>
  <c r="G30"/>
  <c r="FL29"/>
  <c r="FF29"/>
  <c r="EY29"/>
  <c r="ES29"/>
  <c r="EL29"/>
  <c r="EF29"/>
  <c r="DY29"/>
  <c r="DS29"/>
  <c r="DL29"/>
  <c r="DF29"/>
  <c r="CY29"/>
  <c r="CS29"/>
  <c r="CL29"/>
  <c r="CF29"/>
  <c r="BY29"/>
  <c r="BS29"/>
  <c r="BL29"/>
  <c r="BF29"/>
  <c r="AY29"/>
  <c r="AS29"/>
  <c r="AL29"/>
  <c r="AF29"/>
  <c r="Y29"/>
  <c r="S29"/>
  <c r="R29"/>
  <c r="L29"/>
  <c r="G29"/>
  <c r="FL28"/>
  <c r="FF28"/>
  <c r="EY28"/>
  <c r="ES28"/>
  <c r="EL28"/>
  <c r="EF28"/>
  <c r="DY28"/>
  <c r="DS28"/>
  <c r="DL28"/>
  <c r="DF28"/>
  <c r="CY28"/>
  <c r="CS28"/>
  <c r="CL28"/>
  <c r="CF28"/>
  <c r="BY28"/>
  <c r="BS28"/>
  <c r="BL28"/>
  <c r="BF28"/>
  <c r="AY28"/>
  <c r="AS28"/>
  <c r="AL28"/>
  <c r="AF28"/>
  <c r="Y28"/>
  <c r="S28"/>
  <c r="R28"/>
  <c r="L28"/>
  <c r="G28"/>
  <c r="FL27"/>
  <c r="FF27"/>
  <c r="EY27"/>
  <c r="ES27"/>
  <c r="EL27"/>
  <c r="EF27"/>
  <c r="DY27"/>
  <c r="DS27"/>
  <c r="DL27"/>
  <c r="DF27"/>
  <c r="CY27"/>
  <c r="CS27"/>
  <c r="CL27"/>
  <c r="CF27"/>
  <c r="BY27"/>
  <c r="BS27"/>
  <c r="BL27"/>
  <c r="BF27"/>
  <c r="AY27"/>
  <c r="AS27"/>
  <c r="AL27"/>
  <c r="AF27"/>
  <c r="Y27"/>
  <c r="S27"/>
  <c r="R27"/>
  <c r="L27"/>
  <c r="G27"/>
  <c r="FL26"/>
  <c r="FF26"/>
  <c r="EY26"/>
  <c r="ES26"/>
  <c r="EL26"/>
  <c r="EF26"/>
  <c r="DY26"/>
  <c r="DS26"/>
  <c r="DL26"/>
  <c r="DF26"/>
  <c r="CY26"/>
  <c r="CS26"/>
  <c r="CL26"/>
  <c r="CF26"/>
  <c r="BY26"/>
  <c r="BS26"/>
  <c r="BL26"/>
  <c r="BF26"/>
  <c r="AY26"/>
  <c r="AS26"/>
  <c r="AL26"/>
  <c r="AF26"/>
  <c r="Y26"/>
  <c r="R26"/>
  <c r="S26" s="1"/>
  <c r="L26"/>
  <c r="G26"/>
  <c r="FL25"/>
  <c r="FF25"/>
  <c r="EY25"/>
  <c r="ES25"/>
  <c r="EL25"/>
  <c r="EF25"/>
  <c r="DY25"/>
  <c r="DS25"/>
  <c r="DL25"/>
  <c r="DF25"/>
  <c r="CY25"/>
  <c r="CS25"/>
  <c r="CL25"/>
  <c r="CF25"/>
  <c r="BY25"/>
  <c r="BS25"/>
  <c r="BL25"/>
  <c r="BF25"/>
  <c r="AY25"/>
  <c r="AS25"/>
  <c r="AL25"/>
  <c r="AF25"/>
  <c r="Y25"/>
  <c r="S25"/>
  <c r="R25"/>
  <c r="L25"/>
  <c r="G25"/>
  <c r="FL24"/>
  <c r="FF24"/>
  <c r="EY24"/>
  <c r="ES24"/>
  <c r="EL24"/>
  <c r="EF24"/>
  <c r="DY24"/>
  <c r="DS24"/>
  <c r="DL24"/>
  <c r="DF24"/>
  <c r="CY24"/>
  <c r="CS24"/>
  <c r="CL24"/>
  <c r="CF24"/>
  <c r="BY24"/>
  <c r="BS24"/>
  <c r="BL24"/>
  <c r="BF24"/>
  <c r="AY24"/>
  <c r="AS24"/>
  <c r="AL24"/>
  <c r="AF24"/>
  <c r="Y24"/>
  <c r="R24"/>
  <c r="S24" s="1"/>
  <c r="L24"/>
  <c r="G24"/>
  <c r="FL23"/>
  <c r="FF23"/>
  <c r="EY23"/>
  <c r="ES23"/>
  <c r="EL23"/>
  <c r="EF23"/>
  <c r="DY23"/>
  <c r="DS23"/>
  <c r="DL23"/>
  <c r="DF23"/>
  <c r="CY23"/>
  <c r="CS23"/>
  <c r="CL23"/>
  <c r="CF23"/>
  <c r="BY23"/>
  <c r="BS23"/>
  <c r="BL23"/>
  <c r="BF23"/>
  <c r="AY23"/>
  <c r="AS23"/>
  <c r="AL23"/>
  <c r="AF23"/>
  <c r="Y23"/>
  <c r="S23"/>
  <c r="R23"/>
  <c r="L23"/>
  <c r="G23"/>
  <c r="FL22"/>
  <c r="FF22"/>
  <c r="EY22"/>
  <c r="ES22"/>
  <c r="EL22"/>
  <c r="EF22"/>
  <c r="DY22"/>
  <c r="DS22"/>
  <c r="DL22"/>
  <c r="DF22"/>
  <c r="CY22"/>
  <c r="CS22"/>
  <c r="CL22"/>
  <c r="CF22"/>
  <c r="BY22"/>
  <c r="BS22"/>
  <c r="BL22"/>
  <c r="BF22"/>
  <c r="AY22"/>
  <c r="AS22"/>
  <c r="AL22"/>
  <c r="AF22"/>
  <c r="Y22"/>
  <c r="R22"/>
  <c r="S22" s="1"/>
  <c r="L22"/>
  <c r="G22"/>
  <c r="FL21"/>
  <c r="FF21"/>
  <c r="EY21"/>
  <c r="ES21"/>
  <c r="EL21"/>
  <c r="EF21"/>
  <c r="DY21"/>
  <c r="DS21"/>
  <c r="DL21"/>
  <c r="DF21"/>
  <c r="CY21"/>
  <c r="CS21"/>
  <c r="CL21"/>
  <c r="CF21"/>
  <c r="BY21"/>
  <c r="BS21"/>
  <c r="BL21"/>
  <c r="BF21"/>
  <c r="AY21"/>
  <c r="AS21"/>
  <c r="AL21"/>
  <c r="AF21"/>
  <c r="Y21"/>
  <c r="S21"/>
  <c r="R21"/>
  <c r="L21"/>
  <c r="G21"/>
  <c r="FL20"/>
  <c r="FF20"/>
  <c r="EY20"/>
  <c r="ES20"/>
  <c r="EL20"/>
  <c r="EF20"/>
  <c r="DY20"/>
  <c r="DS20"/>
  <c r="DL20"/>
  <c r="DF20"/>
  <c r="CY20"/>
  <c r="CS20"/>
  <c r="CL20"/>
  <c r="CF20"/>
  <c r="BY20"/>
  <c r="BS20"/>
  <c r="BL20"/>
  <c r="BF20"/>
  <c r="AY20"/>
  <c r="AS20"/>
  <c r="AL20"/>
  <c r="AF20"/>
  <c r="Y20"/>
  <c r="S20"/>
  <c r="R20"/>
  <c r="L20"/>
  <c r="G20"/>
  <c r="FL19"/>
  <c r="FF19"/>
  <c r="EY19"/>
  <c r="ES19"/>
  <c r="EL19"/>
  <c r="EF19"/>
  <c r="DY19"/>
  <c r="DS19"/>
  <c r="DL19"/>
  <c r="DF19"/>
  <c r="CY19"/>
  <c r="CS19"/>
  <c r="CL19"/>
  <c r="CF19"/>
  <c r="BY19"/>
  <c r="BS19"/>
  <c r="BL19"/>
  <c r="BF19"/>
  <c r="AY19"/>
  <c r="AS19"/>
  <c r="AL19"/>
  <c r="AF19"/>
  <c r="Y19"/>
  <c r="S19"/>
  <c r="R19"/>
  <c r="L19"/>
  <c r="G19"/>
  <c r="FL18"/>
  <c r="FF18"/>
  <c r="EY18"/>
  <c r="ES18"/>
  <c r="EL18"/>
  <c r="EF18"/>
  <c r="DY18"/>
  <c r="DS18"/>
  <c r="DL18"/>
  <c r="DF18"/>
  <c r="CY18"/>
  <c r="CS18"/>
  <c r="CL18"/>
  <c r="CF18"/>
  <c r="BY18"/>
  <c r="BS18"/>
  <c r="BL18"/>
  <c r="BF18"/>
  <c r="AY18"/>
  <c r="AS18"/>
  <c r="AL18"/>
  <c r="AF18"/>
  <c r="Y18"/>
  <c r="R18"/>
  <c r="S18" s="1"/>
  <c r="L18"/>
  <c r="G18"/>
  <c r="FL17"/>
  <c r="FF17"/>
  <c r="EY17"/>
  <c r="ES17"/>
  <c r="EL17"/>
  <c r="EF17"/>
  <c r="DY17"/>
  <c r="DS17"/>
  <c r="DL17"/>
  <c r="DF17"/>
  <c r="CY17"/>
  <c r="CS17"/>
  <c r="CL17"/>
  <c r="CF17"/>
  <c r="BY17"/>
  <c r="BS17"/>
  <c r="BL17"/>
  <c r="BF17"/>
  <c r="AY17"/>
  <c r="AS17"/>
  <c r="AL17"/>
  <c r="AF17"/>
  <c r="Y17"/>
  <c r="S17"/>
  <c r="R17"/>
  <c r="L17"/>
  <c r="G17"/>
  <c r="FL16"/>
  <c r="FF16"/>
  <c r="EY16"/>
  <c r="ES16"/>
  <c r="EL16"/>
  <c r="EF16"/>
  <c r="DY16"/>
  <c r="DS16"/>
  <c r="DL16"/>
  <c r="DF16"/>
  <c r="CY16"/>
  <c r="CS16"/>
  <c r="CL16"/>
  <c r="CF16"/>
  <c r="BY16"/>
  <c r="BS16"/>
  <c r="BL16"/>
  <c r="BF16"/>
  <c r="AY16"/>
  <c r="AS16"/>
  <c r="AL16"/>
  <c r="AF16"/>
  <c r="Y16"/>
  <c r="S16"/>
  <c r="R16"/>
  <c r="L16"/>
  <c r="G16"/>
  <c r="FL15"/>
  <c r="FF15"/>
  <c r="EY15"/>
  <c r="ES15"/>
  <c r="EL15"/>
  <c r="EF15"/>
  <c r="DY15"/>
  <c r="DS15"/>
  <c r="DL15"/>
  <c r="DF15"/>
  <c r="CY15"/>
  <c r="CS15"/>
  <c r="CL15"/>
  <c r="CF15"/>
  <c r="BY15"/>
  <c r="BS15"/>
  <c r="BL15"/>
  <c r="BF15"/>
  <c r="AY15"/>
  <c r="AS15"/>
  <c r="AL15"/>
  <c r="AF15"/>
  <c r="Y15"/>
  <c r="S15"/>
  <c r="R15"/>
  <c r="L15"/>
  <c r="G15"/>
  <c r="FL14"/>
  <c r="FF14"/>
  <c r="EY14"/>
  <c r="ES14"/>
  <c r="EL14"/>
  <c r="EF14"/>
  <c r="DY14"/>
  <c r="DS14"/>
  <c r="DL14"/>
  <c r="DF14"/>
  <c r="CY14"/>
  <c r="CS14"/>
  <c r="CL14"/>
  <c r="CF14"/>
  <c r="BY14"/>
  <c r="BS14"/>
  <c r="BL14"/>
  <c r="BF14"/>
  <c r="AY14"/>
  <c r="AS14"/>
  <c r="AL14"/>
  <c r="AF14"/>
  <c r="Y14"/>
  <c r="R14"/>
  <c r="S14" s="1"/>
  <c r="L14"/>
  <c r="G14"/>
  <c r="FL13"/>
  <c r="FF13"/>
  <c r="EY13"/>
  <c r="ES13"/>
  <c r="EL13"/>
  <c r="EF13"/>
  <c r="DY13"/>
  <c r="DS13"/>
  <c r="DL13"/>
  <c r="DF13"/>
  <c r="CY13"/>
  <c r="CS13"/>
  <c r="CL13"/>
  <c r="CF13"/>
  <c r="BY13"/>
  <c r="BS13"/>
  <c r="BL13"/>
  <c r="BF13"/>
  <c r="AY13"/>
  <c r="AS13"/>
  <c r="AL13"/>
  <c r="AF13"/>
  <c r="Y13"/>
  <c r="R13"/>
  <c r="S13" s="1"/>
  <c r="L13"/>
  <c r="G13"/>
  <c r="FL12"/>
  <c r="FF12"/>
  <c r="EY12"/>
  <c r="ES12"/>
  <c r="EL12"/>
  <c r="EF12"/>
  <c r="DY12"/>
  <c r="DS12"/>
  <c r="DL12"/>
  <c r="DF12"/>
  <c r="CY12"/>
  <c r="CS12"/>
  <c r="CL12"/>
  <c r="CF12"/>
  <c r="BY12"/>
  <c r="BS12"/>
  <c r="BL12"/>
  <c r="BF12"/>
  <c r="AY12"/>
  <c r="AS12"/>
  <c r="AL12"/>
  <c r="AF12"/>
  <c r="Y12"/>
  <c r="R12"/>
  <c r="S12" s="1"/>
  <c r="L12"/>
  <c r="G12"/>
  <c r="FL11"/>
  <c r="FF11"/>
  <c r="EY11"/>
  <c r="ES11"/>
  <c r="EL11"/>
  <c r="EF11"/>
  <c r="DY11"/>
  <c r="DS11"/>
  <c r="DL11"/>
  <c r="DF11"/>
  <c r="CY11"/>
  <c r="CS11"/>
  <c r="CL11"/>
  <c r="CF11"/>
  <c r="BY11"/>
  <c r="BS11"/>
  <c r="BL11"/>
  <c r="BF11"/>
  <c r="AY11"/>
  <c r="AS11"/>
  <c r="AL11"/>
  <c r="AF11"/>
  <c r="Y11"/>
  <c r="S11"/>
  <c r="R11"/>
  <c r="L11"/>
  <c r="G11"/>
  <c r="FL10"/>
  <c r="FF10"/>
  <c r="EY10"/>
  <c r="ES10"/>
  <c r="EL10"/>
  <c r="EF10"/>
  <c r="DY10"/>
  <c r="DS10"/>
  <c r="DL10"/>
  <c r="DF10"/>
  <c r="CY10"/>
  <c r="CS10"/>
  <c r="CL10"/>
  <c r="CF10"/>
  <c r="BY10"/>
  <c r="BS10"/>
  <c r="BL10"/>
  <c r="BF10"/>
  <c r="AY10"/>
  <c r="AS10"/>
  <c r="AL10"/>
  <c r="AF10"/>
  <c r="Y10"/>
  <c r="R10"/>
  <c r="S10" s="1"/>
  <c r="L10"/>
  <c r="G10"/>
  <c r="FL9"/>
  <c r="FF9"/>
  <c r="EY9"/>
  <c r="ES9"/>
  <c r="EL9"/>
  <c r="EF9"/>
  <c r="DY9"/>
  <c r="DS9"/>
  <c r="DL9"/>
  <c r="DF9"/>
  <c r="CY9"/>
  <c r="CS9"/>
  <c r="CL9"/>
  <c r="CF9"/>
  <c r="BY9"/>
  <c r="BS9"/>
  <c r="BL9"/>
  <c r="BF9"/>
  <c r="AY9"/>
  <c r="AS9"/>
  <c r="AL9"/>
  <c r="AF9"/>
  <c r="Y9"/>
  <c r="S9"/>
  <c r="R9"/>
  <c r="L9"/>
  <c r="G9"/>
  <c r="FL8"/>
  <c r="FF8"/>
  <c r="EY8"/>
  <c r="ES8"/>
  <c r="EL8"/>
  <c r="EF8"/>
  <c r="DY8"/>
  <c r="DS8"/>
  <c r="DL8"/>
  <c r="DF8"/>
  <c r="CY8"/>
  <c r="CS8"/>
  <c r="CL8"/>
  <c r="CF8"/>
  <c r="BY8"/>
  <c r="BS8"/>
  <c r="BL8"/>
  <c r="BF8"/>
  <c r="AY8"/>
  <c r="AS8"/>
  <c r="AL8"/>
  <c r="AF8"/>
  <c r="Y8"/>
  <c r="R8"/>
  <c r="S8" s="1"/>
  <c r="L8"/>
  <c r="G8"/>
  <c r="FL7"/>
  <c r="FF7"/>
  <c r="EY7"/>
  <c r="ES7"/>
  <c r="EL7"/>
  <c r="EF7"/>
  <c r="DY7"/>
  <c r="DS7"/>
  <c r="DL7"/>
  <c r="DF7"/>
  <c r="CY7"/>
  <c r="CS7"/>
  <c r="CL7"/>
  <c r="CF7"/>
  <c r="BY7"/>
  <c r="BS7"/>
  <c r="BL7"/>
  <c r="BF7"/>
  <c r="AY7"/>
  <c r="AS7"/>
  <c r="AL7"/>
  <c r="AF7"/>
  <c r="Y7"/>
  <c r="S7"/>
  <c r="R7"/>
  <c r="L7"/>
  <c r="G7"/>
  <c r="FL6"/>
  <c r="FF6"/>
  <c r="EY6"/>
  <c r="ES6"/>
  <c r="EL6"/>
  <c r="EF6"/>
  <c r="DY6"/>
  <c r="DS6"/>
  <c r="DL6"/>
  <c r="DF6"/>
  <c r="CY6"/>
  <c r="CS6"/>
  <c r="CL6"/>
  <c r="CF6"/>
  <c r="BY6"/>
  <c r="BS6"/>
  <c r="BL6"/>
  <c r="BF6"/>
  <c r="AY6"/>
  <c r="AS6"/>
  <c r="AL6"/>
  <c r="AF6"/>
  <c r="Y6"/>
  <c r="R6"/>
  <c r="S6" s="1"/>
  <c r="L6"/>
  <c r="G6"/>
</calcChain>
</file>

<file path=xl/sharedStrings.xml><?xml version="1.0" encoding="utf-8"?>
<sst xmlns="http://schemas.openxmlformats.org/spreadsheetml/2006/main" count="205" uniqueCount="61">
  <si>
    <t>Order Booking Comparision 2025-26 Sales Office Wise</t>
  </si>
  <si>
    <r>
      <t xml:space="preserve">All Values in </t>
    </r>
    <r>
      <rPr>
        <b/>
        <sz val="11"/>
        <color theme="1"/>
        <rFont val="Calibri"/>
        <family val="2"/>
      </rPr>
      <t>₹ Lacs</t>
    </r>
  </si>
  <si>
    <t>Unit-01</t>
  </si>
  <si>
    <t>Unit-02</t>
  </si>
  <si>
    <t>Unit-05</t>
  </si>
  <si>
    <t>Unit-06</t>
  </si>
  <si>
    <t>Unit-10</t>
  </si>
  <si>
    <t>Unit-16</t>
  </si>
  <si>
    <t>Unit-25</t>
  </si>
  <si>
    <t>Unit-20</t>
  </si>
  <si>
    <t>DC Machines</t>
  </si>
  <si>
    <t>HV Motors</t>
  </si>
  <si>
    <t>RRM</t>
  </si>
  <si>
    <t>HV Generators</t>
  </si>
  <si>
    <t>LV Motors (Non-Std)</t>
  </si>
  <si>
    <t>Transformer (Mysore)</t>
  </si>
  <si>
    <t xml:space="preserve">DG Sets </t>
  </si>
  <si>
    <t>Switchgear</t>
  </si>
  <si>
    <t>Transformer (Pune)</t>
  </si>
  <si>
    <t>LV Motors (Std)</t>
  </si>
  <si>
    <t>LV Generators</t>
  </si>
  <si>
    <t>EVM</t>
  </si>
  <si>
    <t>Spares &amp; Service</t>
  </si>
  <si>
    <t>Sales Office</t>
  </si>
  <si>
    <t>Apr'25</t>
  </si>
  <si>
    <t>May'25</t>
  </si>
  <si>
    <t>Jun'25</t>
  </si>
  <si>
    <t>Jul'25</t>
  </si>
  <si>
    <t>Aug'25</t>
  </si>
  <si>
    <t>Total</t>
  </si>
  <si>
    <t>Apr'26</t>
  </si>
  <si>
    <t>May'26</t>
  </si>
  <si>
    <t>Jun'26</t>
  </si>
  <si>
    <t>Jul'26</t>
  </si>
  <si>
    <t>Aug'26</t>
  </si>
  <si>
    <t>Ahmedabad</t>
  </si>
  <si>
    <t>Bangalore</t>
  </si>
  <si>
    <t>Bhilai</t>
  </si>
  <si>
    <t>Bhopal</t>
  </si>
  <si>
    <t>Bhubaneshwar</t>
  </si>
  <si>
    <t>Chennai</t>
  </si>
  <si>
    <t>Cochin</t>
  </si>
  <si>
    <t>Coimbatore</t>
  </si>
  <si>
    <t>Delhi</t>
  </si>
  <si>
    <t>Faridabad</t>
  </si>
  <si>
    <t>Guwahati</t>
  </si>
  <si>
    <t>Hubli</t>
  </si>
  <si>
    <t>Hyderabad</t>
  </si>
  <si>
    <t>InternationalMarket</t>
  </si>
  <si>
    <t>Jaipur</t>
  </si>
  <si>
    <t>Kanpur</t>
  </si>
  <si>
    <t>Kolkata</t>
  </si>
  <si>
    <t>Lucknow</t>
  </si>
  <si>
    <t>Ludhiana</t>
  </si>
  <si>
    <t>Mumbai</t>
  </si>
  <si>
    <t>Nagpur</t>
  </si>
  <si>
    <t>Patna</t>
  </si>
  <si>
    <t>Pune</t>
  </si>
  <si>
    <t>Raipur</t>
  </si>
  <si>
    <t>Surat</t>
  </si>
  <si>
    <t>Grand 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</si>
</sst>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31"/>
  <sheetViews>
    <sheetView tabSelected="1" workbookViewId="0">
      <selection activeCell="A5" sqref="A5"/>
    </sheetView>
  </sheetViews>
  <sheetFormatPr defaultRowHeight="15"/>
  <cols>
    <col min="1" max="1" width="19.140625" bestFit="1" customWidth="1"/>
  </cols>
  <sheetData>
    <row r="1" spans="1:168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</row>
    <row r="2" spans="1:16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</row>
    <row r="3" spans="1:168">
      <c r="A3" s="3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5"/>
      <c r="BA3" s="4" t="s">
        <v>3</v>
      </c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6"/>
      <c r="BN3" s="4" t="s">
        <v>4</v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6"/>
      <c r="CA3" s="4" t="s">
        <v>5</v>
      </c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6"/>
      <c r="CN3" s="4" t="s">
        <v>6</v>
      </c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6"/>
      <c r="DA3" s="4" t="s">
        <v>7</v>
      </c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6"/>
      <c r="DN3" s="4" t="s">
        <v>8</v>
      </c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6"/>
      <c r="FA3" s="4" t="s">
        <v>9</v>
      </c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</row>
    <row r="4" spans="1:168">
      <c r="A4" s="3"/>
      <c r="B4" s="4" t="s">
        <v>10</v>
      </c>
      <c r="C4" s="4"/>
      <c r="D4" s="4"/>
      <c r="E4" s="4"/>
      <c r="F4" s="4"/>
      <c r="G4" s="4"/>
      <c r="H4" s="4"/>
      <c r="I4" s="4"/>
      <c r="J4" s="4"/>
      <c r="K4" s="4"/>
      <c r="L4" s="4"/>
      <c r="M4" s="7"/>
      <c r="N4" s="4" t="s">
        <v>11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  <c r="AA4" s="4" t="s">
        <v>12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6"/>
      <c r="AN4" s="4" t="s">
        <v>13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5"/>
      <c r="BA4" s="4" t="s">
        <v>14</v>
      </c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6"/>
      <c r="BN4" s="4" t="s">
        <v>15</v>
      </c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7"/>
      <c r="CA4" s="4" t="s">
        <v>16</v>
      </c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6"/>
      <c r="CN4" s="4" t="s">
        <v>17</v>
      </c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6"/>
      <c r="DA4" s="4" t="s">
        <v>18</v>
      </c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6"/>
      <c r="DN4" s="4" t="s">
        <v>19</v>
      </c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6"/>
      <c r="EA4" s="4" t="s">
        <v>20</v>
      </c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6"/>
      <c r="EN4" s="4" t="s">
        <v>21</v>
      </c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6"/>
      <c r="FA4" s="4" t="s">
        <v>22</v>
      </c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</row>
    <row r="5" spans="1:168">
      <c r="A5" s="3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8" t="s">
        <v>29</v>
      </c>
      <c r="H5" s="7" t="s">
        <v>30</v>
      </c>
      <c r="I5" s="7" t="s">
        <v>31</v>
      </c>
      <c r="J5" s="7" t="s">
        <v>32</v>
      </c>
      <c r="K5" s="7" t="s">
        <v>33</v>
      </c>
      <c r="L5" s="7" t="s">
        <v>29</v>
      </c>
      <c r="M5" s="7"/>
      <c r="N5" s="7" t="s">
        <v>24</v>
      </c>
      <c r="O5" s="7" t="s">
        <v>25</v>
      </c>
      <c r="P5" s="7" t="s">
        <v>26</v>
      </c>
      <c r="Q5" s="7" t="s">
        <v>27</v>
      </c>
      <c r="R5" s="7" t="s">
        <v>28</v>
      </c>
      <c r="S5" s="8" t="s">
        <v>29</v>
      </c>
      <c r="T5" s="7" t="s">
        <v>30</v>
      </c>
      <c r="U5" s="7" t="s">
        <v>31</v>
      </c>
      <c r="V5" s="7" t="s">
        <v>32</v>
      </c>
      <c r="W5" s="7" t="s">
        <v>33</v>
      </c>
      <c r="X5" s="7" t="s">
        <v>34</v>
      </c>
      <c r="Y5" s="8" t="s">
        <v>29</v>
      </c>
      <c r="Z5" s="7"/>
      <c r="AA5" s="7" t="s">
        <v>24</v>
      </c>
      <c r="AB5" s="7" t="s">
        <v>25</v>
      </c>
      <c r="AC5" s="7" t="s">
        <v>26</v>
      </c>
      <c r="AD5" s="7" t="s">
        <v>27</v>
      </c>
      <c r="AE5" s="7" t="s">
        <v>28</v>
      </c>
      <c r="AF5" s="8" t="s">
        <v>29</v>
      </c>
      <c r="AG5" s="7" t="s">
        <v>30</v>
      </c>
      <c r="AH5" s="7" t="s">
        <v>31</v>
      </c>
      <c r="AI5" s="7" t="s">
        <v>32</v>
      </c>
      <c r="AJ5" s="7" t="s">
        <v>33</v>
      </c>
      <c r="AK5" s="7" t="s">
        <v>34</v>
      </c>
      <c r="AL5" s="8" t="s">
        <v>29</v>
      </c>
      <c r="AM5" s="7"/>
      <c r="AN5" s="7" t="s">
        <v>24</v>
      </c>
      <c r="AO5" s="7" t="s">
        <v>25</v>
      </c>
      <c r="AP5" s="7" t="s">
        <v>26</v>
      </c>
      <c r="AQ5" s="7" t="s">
        <v>27</v>
      </c>
      <c r="AR5" s="7" t="s">
        <v>28</v>
      </c>
      <c r="AS5" s="8" t="s">
        <v>29</v>
      </c>
      <c r="AT5" s="7" t="s">
        <v>30</v>
      </c>
      <c r="AU5" s="7" t="s">
        <v>31</v>
      </c>
      <c r="AV5" s="7" t="s">
        <v>32</v>
      </c>
      <c r="AW5" s="7" t="s">
        <v>34</v>
      </c>
      <c r="AX5" s="7" t="s">
        <v>32</v>
      </c>
      <c r="AY5" s="8" t="s">
        <v>29</v>
      </c>
      <c r="AZ5" s="3"/>
      <c r="BA5" s="7" t="s">
        <v>24</v>
      </c>
      <c r="BB5" s="7" t="s">
        <v>25</v>
      </c>
      <c r="BC5" s="7" t="s">
        <v>26</v>
      </c>
      <c r="BD5" s="7" t="s">
        <v>27</v>
      </c>
      <c r="BE5" s="7" t="s">
        <v>28</v>
      </c>
      <c r="BF5" s="8" t="s">
        <v>29</v>
      </c>
      <c r="BG5" s="7" t="s">
        <v>30</v>
      </c>
      <c r="BH5" s="7" t="s">
        <v>31</v>
      </c>
      <c r="BI5" s="7" t="s">
        <v>32</v>
      </c>
      <c r="BJ5" s="7" t="s">
        <v>33</v>
      </c>
      <c r="BK5" s="7" t="s">
        <v>34</v>
      </c>
      <c r="BL5" s="8" t="s">
        <v>29</v>
      </c>
      <c r="BM5" s="7"/>
      <c r="BN5" s="7" t="s">
        <v>24</v>
      </c>
      <c r="BO5" s="7" t="s">
        <v>25</v>
      </c>
      <c r="BP5" s="7" t="s">
        <v>26</v>
      </c>
      <c r="BQ5" s="7" t="s">
        <v>27</v>
      </c>
      <c r="BR5" s="7" t="s">
        <v>28</v>
      </c>
      <c r="BS5" s="8" t="s">
        <v>29</v>
      </c>
      <c r="BT5" s="7" t="s">
        <v>30</v>
      </c>
      <c r="BU5" s="7" t="s">
        <v>31</v>
      </c>
      <c r="BV5" s="7" t="s">
        <v>32</v>
      </c>
      <c r="BW5" s="7" t="s">
        <v>33</v>
      </c>
      <c r="BX5" s="7" t="s">
        <v>34</v>
      </c>
      <c r="BY5" s="8" t="s">
        <v>29</v>
      </c>
      <c r="BZ5" s="7"/>
      <c r="CA5" s="7" t="s">
        <v>24</v>
      </c>
      <c r="CB5" s="7" t="s">
        <v>25</v>
      </c>
      <c r="CC5" s="7" t="s">
        <v>26</v>
      </c>
      <c r="CD5" s="7" t="s">
        <v>27</v>
      </c>
      <c r="CE5" s="7" t="s">
        <v>28</v>
      </c>
      <c r="CF5" s="8" t="s">
        <v>29</v>
      </c>
      <c r="CG5" s="7" t="s">
        <v>30</v>
      </c>
      <c r="CH5" s="7" t="s">
        <v>31</v>
      </c>
      <c r="CI5" s="7" t="s">
        <v>32</v>
      </c>
      <c r="CJ5" s="7" t="s">
        <v>33</v>
      </c>
      <c r="CK5" s="7" t="s">
        <v>34</v>
      </c>
      <c r="CL5" s="8" t="s">
        <v>29</v>
      </c>
      <c r="CM5" s="7"/>
      <c r="CN5" s="7" t="s">
        <v>24</v>
      </c>
      <c r="CO5" s="7" t="s">
        <v>25</v>
      </c>
      <c r="CP5" s="7" t="s">
        <v>26</v>
      </c>
      <c r="CQ5" s="7" t="s">
        <v>27</v>
      </c>
      <c r="CR5" s="7" t="s">
        <v>28</v>
      </c>
      <c r="CS5" s="8" t="s">
        <v>29</v>
      </c>
      <c r="CT5" s="7" t="s">
        <v>30</v>
      </c>
      <c r="CU5" s="7" t="s">
        <v>31</v>
      </c>
      <c r="CV5" s="7" t="s">
        <v>32</v>
      </c>
      <c r="CW5" s="7" t="s">
        <v>33</v>
      </c>
      <c r="CX5" s="7" t="s">
        <v>34</v>
      </c>
      <c r="CY5" s="8" t="s">
        <v>29</v>
      </c>
      <c r="CZ5" s="7"/>
      <c r="DA5" s="7" t="s">
        <v>24</v>
      </c>
      <c r="DB5" s="7" t="s">
        <v>25</v>
      </c>
      <c r="DC5" s="7" t="s">
        <v>26</v>
      </c>
      <c r="DD5" s="7" t="s">
        <v>27</v>
      </c>
      <c r="DE5" s="7" t="s">
        <v>28</v>
      </c>
      <c r="DF5" s="8" t="s">
        <v>29</v>
      </c>
      <c r="DG5" s="7" t="s">
        <v>30</v>
      </c>
      <c r="DH5" s="7" t="s">
        <v>31</v>
      </c>
      <c r="DI5" s="7" t="s">
        <v>32</v>
      </c>
      <c r="DJ5" s="7" t="s">
        <v>33</v>
      </c>
      <c r="DK5" s="7" t="s">
        <v>34</v>
      </c>
      <c r="DL5" s="8" t="s">
        <v>29</v>
      </c>
      <c r="DM5" s="7"/>
      <c r="DN5" s="7" t="s">
        <v>24</v>
      </c>
      <c r="DO5" s="7" t="s">
        <v>25</v>
      </c>
      <c r="DP5" s="7" t="s">
        <v>26</v>
      </c>
      <c r="DQ5" s="7" t="s">
        <v>27</v>
      </c>
      <c r="DR5" s="7" t="s">
        <v>28</v>
      </c>
      <c r="DS5" s="8" t="s">
        <v>29</v>
      </c>
      <c r="DT5" s="7" t="s">
        <v>30</v>
      </c>
      <c r="DU5" s="7" t="s">
        <v>31</v>
      </c>
      <c r="DV5" s="7" t="s">
        <v>32</v>
      </c>
      <c r="DW5" s="7" t="s">
        <v>33</v>
      </c>
      <c r="DX5" s="7" t="s">
        <v>34</v>
      </c>
      <c r="DY5" s="8" t="s">
        <v>29</v>
      </c>
      <c r="DZ5" s="7"/>
      <c r="EA5" s="7" t="s">
        <v>24</v>
      </c>
      <c r="EB5" s="7" t="s">
        <v>25</v>
      </c>
      <c r="EC5" s="7" t="s">
        <v>26</v>
      </c>
      <c r="ED5" s="7" t="s">
        <v>27</v>
      </c>
      <c r="EE5" s="7" t="s">
        <v>28</v>
      </c>
      <c r="EF5" s="8" t="s">
        <v>29</v>
      </c>
      <c r="EG5" s="7" t="s">
        <v>30</v>
      </c>
      <c r="EH5" s="7" t="s">
        <v>31</v>
      </c>
      <c r="EI5" s="7" t="s">
        <v>32</v>
      </c>
      <c r="EJ5" s="7" t="s">
        <v>33</v>
      </c>
      <c r="EK5" s="7" t="s">
        <v>34</v>
      </c>
      <c r="EL5" s="8" t="s">
        <v>29</v>
      </c>
      <c r="EM5" s="7"/>
      <c r="EN5" s="7" t="s">
        <v>24</v>
      </c>
      <c r="EO5" s="7" t="s">
        <v>25</v>
      </c>
      <c r="EP5" s="7" t="s">
        <v>26</v>
      </c>
      <c r="EQ5" s="7" t="s">
        <v>27</v>
      </c>
      <c r="ER5" s="7" t="s">
        <v>28</v>
      </c>
      <c r="ES5" s="8" t="s">
        <v>29</v>
      </c>
      <c r="ET5" s="7" t="s">
        <v>30</v>
      </c>
      <c r="EU5" s="7" t="s">
        <v>31</v>
      </c>
      <c r="EV5" s="7" t="s">
        <v>32</v>
      </c>
      <c r="EW5" s="7" t="s">
        <v>33</v>
      </c>
      <c r="EX5" s="7" t="s">
        <v>34</v>
      </c>
      <c r="EY5" s="8" t="s">
        <v>29</v>
      </c>
      <c r="EZ5" s="7"/>
      <c r="FA5" s="7" t="s">
        <v>24</v>
      </c>
      <c r="FB5" s="7" t="s">
        <v>25</v>
      </c>
      <c r="FC5" s="7" t="s">
        <v>26</v>
      </c>
      <c r="FD5" s="7" t="s">
        <v>27</v>
      </c>
      <c r="FE5" s="7" t="s">
        <v>28</v>
      </c>
      <c r="FF5" s="8" t="s">
        <v>29</v>
      </c>
      <c r="FG5" s="7" t="s">
        <v>30</v>
      </c>
      <c r="FH5" s="7" t="s">
        <v>31</v>
      </c>
      <c r="FI5" s="7" t="s">
        <v>32</v>
      </c>
      <c r="FJ5" s="7" t="s">
        <v>33</v>
      </c>
      <c r="FK5" s="7" t="s">
        <v>34</v>
      </c>
      <c r="FL5" s="8" t="s">
        <v>29</v>
      </c>
    </row>
    <row r="6" spans="1:168">
      <c r="A6" s="3" t="s">
        <v>35</v>
      </c>
      <c r="B6" s="3">
        <v>21</v>
      </c>
      <c r="C6" s="3">
        <v>0</v>
      </c>
      <c r="D6" s="3">
        <v>4</v>
      </c>
      <c r="E6" s="3">
        <v>0</v>
      </c>
      <c r="F6" s="3">
        <v>33</v>
      </c>
      <c r="G6" s="8">
        <f>SUM(B6:F6)</f>
        <v>58</v>
      </c>
      <c r="H6" s="3">
        <v>3</v>
      </c>
      <c r="I6" s="3">
        <v>0</v>
      </c>
      <c r="J6" s="3">
        <v>2</v>
      </c>
      <c r="K6" s="3">
        <v>3</v>
      </c>
      <c r="L6" s="8">
        <f>SUM(H6:K6)</f>
        <v>8</v>
      </c>
      <c r="M6" s="3"/>
      <c r="N6" s="3">
        <v>72</v>
      </c>
      <c r="O6" s="3">
        <v>21</v>
      </c>
      <c r="P6" s="3">
        <v>0</v>
      </c>
      <c r="Q6" s="3">
        <v>0</v>
      </c>
      <c r="R6" s="3">
        <f>ROUND((J6/100000),0)</f>
        <v>0</v>
      </c>
      <c r="S6" s="8">
        <f>SUM(N6:R6)</f>
        <v>93</v>
      </c>
      <c r="T6" s="3">
        <v>0</v>
      </c>
      <c r="U6" s="3">
        <v>0</v>
      </c>
      <c r="V6" s="3">
        <v>0</v>
      </c>
      <c r="W6" s="3">
        <v>14</v>
      </c>
      <c r="X6" s="3">
        <v>21</v>
      </c>
      <c r="Y6" s="8">
        <f>SUM(T6:X6)</f>
        <v>35</v>
      </c>
      <c r="Z6" s="3"/>
      <c r="AA6" s="3">
        <v>0</v>
      </c>
      <c r="AB6" s="3">
        <v>0</v>
      </c>
      <c r="AC6" s="3">
        <v>12</v>
      </c>
      <c r="AD6" s="3">
        <v>27</v>
      </c>
      <c r="AE6" s="3">
        <v>27</v>
      </c>
      <c r="AF6" s="8">
        <f>SUM(AA6:AE6)</f>
        <v>66</v>
      </c>
      <c r="AG6" s="3">
        <v>0</v>
      </c>
      <c r="AH6" s="3">
        <v>0</v>
      </c>
      <c r="AI6" s="3">
        <v>0</v>
      </c>
      <c r="AJ6" s="3">
        <v>57</v>
      </c>
      <c r="AK6" s="3">
        <v>26</v>
      </c>
      <c r="AL6" s="8">
        <f>SUM(AG6:AK6)</f>
        <v>83</v>
      </c>
      <c r="AM6" s="3"/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8">
        <f>SUM(AN6:AR6)</f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8">
        <f>SUM(AT6:AX6)</f>
        <v>0</v>
      </c>
      <c r="AZ6" s="3"/>
      <c r="BA6" s="3">
        <v>5</v>
      </c>
      <c r="BB6" s="3">
        <v>7</v>
      </c>
      <c r="BC6" s="3">
        <v>9</v>
      </c>
      <c r="BD6" s="3">
        <v>50</v>
      </c>
      <c r="BE6" s="3">
        <v>56</v>
      </c>
      <c r="BF6" s="8">
        <f>SUM(BA6:BE6)</f>
        <v>127</v>
      </c>
      <c r="BG6" s="3">
        <v>0</v>
      </c>
      <c r="BH6" s="3">
        <v>2</v>
      </c>
      <c r="BI6" s="3">
        <v>2</v>
      </c>
      <c r="BJ6" s="3">
        <v>38</v>
      </c>
      <c r="BK6" s="3">
        <v>17</v>
      </c>
      <c r="BL6" s="8">
        <f>SUM(BG6:BK6)</f>
        <v>59</v>
      </c>
      <c r="BM6" s="3"/>
      <c r="BN6" s="3">
        <v>175</v>
      </c>
      <c r="BO6" s="3">
        <v>0</v>
      </c>
      <c r="BP6" s="3">
        <v>1</v>
      </c>
      <c r="BQ6" s="3">
        <v>0</v>
      </c>
      <c r="BR6" s="3">
        <v>0</v>
      </c>
      <c r="BS6" s="8">
        <f>SUM(BN6:BR6)</f>
        <v>176</v>
      </c>
      <c r="BT6" s="3">
        <v>0</v>
      </c>
      <c r="BU6" s="3">
        <v>0</v>
      </c>
      <c r="BV6" s="3">
        <v>629</v>
      </c>
      <c r="BW6" s="3">
        <v>0</v>
      </c>
      <c r="BX6" s="3">
        <v>0</v>
      </c>
      <c r="BY6" s="8">
        <f>SUM(BT6:BX6)</f>
        <v>629</v>
      </c>
      <c r="BZ6" s="3"/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8">
        <f>SUM(CA6:CE6)</f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8">
        <f>SUM(CG6:CK6)</f>
        <v>0</v>
      </c>
      <c r="CM6" s="3"/>
      <c r="CN6" s="3">
        <v>0</v>
      </c>
      <c r="CO6" s="3">
        <v>43</v>
      </c>
      <c r="CP6" s="3">
        <v>0</v>
      </c>
      <c r="CQ6" s="3">
        <v>0</v>
      </c>
      <c r="CR6" s="3">
        <v>0</v>
      </c>
      <c r="CS6" s="8">
        <f>SUM(CN6:CR6)</f>
        <v>43</v>
      </c>
      <c r="CT6" s="3">
        <v>12</v>
      </c>
      <c r="CU6" s="3">
        <v>0</v>
      </c>
      <c r="CV6" s="3">
        <v>0</v>
      </c>
      <c r="CW6" s="3">
        <v>0</v>
      </c>
      <c r="CX6" s="3">
        <v>0</v>
      </c>
      <c r="CY6" s="8">
        <f>SUM(CT6:CX6)</f>
        <v>12</v>
      </c>
      <c r="CZ6" s="3"/>
      <c r="DA6" s="3">
        <v>0</v>
      </c>
      <c r="DB6" s="3">
        <v>20</v>
      </c>
      <c r="DC6" s="3">
        <v>0</v>
      </c>
      <c r="DD6" s="3">
        <v>163</v>
      </c>
      <c r="DE6" s="3">
        <v>18</v>
      </c>
      <c r="DF6" s="8">
        <f>SUM(DA6:DE6)</f>
        <v>201</v>
      </c>
      <c r="DG6" s="3">
        <v>111</v>
      </c>
      <c r="DH6" s="3">
        <v>0</v>
      </c>
      <c r="DI6" s="3">
        <v>0</v>
      </c>
      <c r="DJ6" s="3">
        <v>86</v>
      </c>
      <c r="DK6" s="3">
        <v>0</v>
      </c>
      <c r="DL6" s="8">
        <f>SUM(DG6:DK6)</f>
        <v>197</v>
      </c>
      <c r="DM6" s="3"/>
      <c r="DN6" s="3">
        <v>3</v>
      </c>
      <c r="DO6" s="3">
        <v>4</v>
      </c>
      <c r="DP6" s="3">
        <v>5</v>
      </c>
      <c r="DQ6" s="3">
        <v>6</v>
      </c>
      <c r="DR6" s="3">
        <v>16</v>
      </c>
      <c r="DS6" s="8">
        <f>SUM(DN6:DR6)</f>
        <v>34</v>
      </c>
      <c r="DT6" s="3">
        <v>0</v>
      </c>
      <c r="DU6" s="3">
        <v>12</v>
      </c>
      <c r="DV6" s="3">
        <v>23</v>
      </c>
      <c r="DW6" s="3">
        <v>4</v>
      </c>
      <c r="DX6" s="3">
        <v>10</v>
      </c>
      <c r="DY6" s="8">
        <f>SUM(DT6:DX6)</f>
        <v>49</v>
      </c>
      <c r="DZ6" s="3"/>
      <c r="EA6" s="3">
        <v>0</v>
      </c>
      <c r="EB6" s="3">
        <v>0</v>
      </c>
      <c r="EC6" s="3">
        <v>0</v>
      </c>
      <c r="ED6" s="3">
        <v>0</v>
      </c>
      <c r="EE6" s="3">
        <v>1</v>
      </c>
      <c r="EF6" s="8">
        <f>SUM(EA6:EE6)</f>
        <v>1</v>
      </c>
      <c r="EG6" s="3">
        <v>0</v>
      </c>
      <c r="EH6" s="3">
        <v>0</v>
      </c>
      <c r="EI6" s="3">
        <v>0</v>
      </c>
      <c r="EJ6" s="3">
        <v>1</v>
      </c>
      <c r="EK6" s="3">
        <v>0</v>
      </c>
      <c r="EL6" s="8">
        <f>SUM(EG6:EK6)</f>
        <v>1</v>
      </c>
      <c r="EM6" s="3"/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8">
        <f>SUM(EN6:ER6)</f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8">
        <f>SUM(ET6:EX6)</f>
        <v>0</v>
      </c>
      <c r="EZ6" s="3"/>
      <c r="FA6" s="3">
        <v>2</v>
      </c>
      <c r="FB6" s="3">
        <v>6</v>
      </c>
      <c r="FC6" s="3">
        <v>0</v>
      </c>
      <c r="FD6" s="3">
        <v>0</v>
      </c>
      <c r="FE6" s="3">
        <v>0</v>
      </c>
      <c r="FF6" s="8">
        <f>SUM(FA6:FE6)</f>
        <v>8</v>
      </c>
      <c r="FG6" s="3">
        <v>0</v>
      </c>
      <c r="FH6" s="3">
        <v>19</v>
      </c>
      <c r="FI6" s="3">
        <v>0</v>
      </c>
      <c r="FJ6" s="3">
        <v>0</v>
      </c>
      <c r="FK6" s="3">
        <v>0</v>
      </c>
      <c r="FL6" s="8">
        <f>SUM(FG6:FK6)</f>
        <v>19</v>
      </c>
    </row>
    <row r="7" spans="1:168">
      <c r="A7" s="3" t="s">
        <v>36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8">
        <f t="shared" ref="G7:G31" si="0">SUM(B7:F7)</f>
        <v>0</v>
      </c>
      <c r="H7" s="3">
        <v>0</v>
      </c>
      <c r="I7" s="3">
        <v>0</v>
      </c>
      <c r="J7" s="3">
        <v>50</v>
      </c>
      <c r="K7" s="3">
        <v>0</v>
      </c>
      <c r="L7" s="8">
        <f t="shared" ref="L7:L31" si="1">SUM(H7:K7)</f>
        <v>50</v>
      </c>
      <c r="M7" s="3"/>
      <c r="N7" s="3">
        <v>0</v>
      </c>
      <c r="O7" s="3">
        <v>46</v>
      </c>
      <c r="P7" s="3">
        <v>0</v>
      </c>
      <c r="Q7" s="3">
        <v>0</v>
      </c>
      <c r="R7" s="3">
        <f t="shared" ref="R7:R31" si="2">ROUND((J7/100000),0)</f>
        <v>0</v>
      </c>
      <c r="S7" s="8">
        <f t="shared" ref="S7:S31" si="3">SUM(N7:R7)</f>
        <v>46</v>
      </c>
      <c r="T7" s="3">
        <v>32</v>
      </c>
      <c r="U7" s="3">
        <v>0</v>
      </c>
      <c r="V7" s="3">
        <v>0</v>
      </c>
      <c r="W7" s="3">
        <v>0</v>
      </c>
      <c r="X7" s="3">
        <v>0</v>
      </c>
      <c r="Y7" s="8">
        <f t="shared" ref="Y7:Y31" si="4">SUM(T7:X7)</f>
        <v>32</v>
      </c>
      <c r="Z7" s="3"/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8">
        <f t="shared" ref="AF7:AF31" si="5">SUM(AA7:AE7)</f>
        <v>0</v>
      </c>
      <c r="AG7" s="3">
        <v>0</v>
      </c>
      <c r="AH7" s="3">
        <v>148</v>
      </c>
      <c r="AI7" s="3">
        <v>0</v>
      </c>
      <c r="AJ7" s="3">
        <v>0</v>
      </c>
      <c r="AK7" s="3">
        <v>0</v>
      </c>
      <c r="AL7" s="8">
        <f t="shared" ref="AL7:AL31" si="6">SUM(AG7:AK7)</f>
        <v>148</v>
      </c>
      <c r="AM7" s="3"/>
      <c r="AN7" s="3">
        <v>0</v>
      </c>
      <c r="AO7" s="3">
        <v>332</v>
      </c>
      <c r="AP7" s="3">
        <v>0</v>
      </c>
      <c r="AQ7" s="3">
        <v>0</v>
      </c>
      <c r="AR7" s="3">
        <v>0</v>
      </c>
      <c r="AS7" s="8">
        <f t="shared" ref="AS7:AS31" si="7">SUM(AN7:AR7)</f>
        <v>332</v>
      </c>
      <c r="AT7" s="3">
        <v>150</v>
      </c>
      <c r="AU7" s="3">
        <v>0</v>
      </c>
      <c r="AV7" s="3">
        <v>0</v>
      </c>
      <c r="AW7" s="3">
        <v>0</v>
      </c>
      <c r="AX7" s="3">
        <v>0</v>
      </c>
      <c r="AY7" s="8">
        <f t="shared" ref="AY7:AY31" si="8">SUM(AT7:AX7)</f>
        <v>150</v>
      </c>
      <c r="AZ7" s="3"/>
      <c r="BA7" s="3">
        <v>5</v>
      </c>
      <c r="BB7" s="3">
        <v>37</v>
      </c>
      <c r="BC7" s="3">
        <v>8</v>
      </c>
      <c r="BD7" s="3">
        <v>9</v>
      </c>
      <c r="BE7" s="3">
        <v>12</v>
      </c>
      <c r="BF7" s="8">
        <f t="shared" ref="BF7:BF31" si="9">SUM(BA7:BE7)</f>
        <v>71</v>
      </c>
      <c r="BG7" s="3">
        <v>16</v>
      </c>
      <c r="BH7" s="3">
        <v>22</v>
      </c>
      <c r="BI7" s="3">
        <v>28</v>
      </c>
      <c r="BJ7" s="3">
        <v>13</v>
      </c>
      <c r="BK7" s="3">
        <v>0</v>
      </c>
      <c r="BL7" s="8">
        <f t="shared" ref="BL7:BL31" si="10">SUM(BG7:BK7)</f>
        <v>79</v>
      </c>
      <c r="BM7" s="3"/>
      <c r="BN7" s="3">
        <v>210</v>
      </c>
      <c r="BO7" s="3">
        <v>0</v>
      </c>
      <c r="BP7" s="3">
        <v>261</v>
      </c>
      <c r="BQ7" s="3">
        <v>99</v>
      </c>
      <c r="BR7" s="3">
        <v>179</v>
      </c>
      <c r="BS7" s="8">
        <f t="shared" ref="BS7:BS31" si="11">SUM(BN7:BR7)</f>
        <v>749</v>
      </c>
      <c r="BT7" s="3">
        <v>296</v>
      </c>
      <c r="BU7" s="3">
        <v>280</v>
      </c>
      <c r="BV7" s="3">
        <v>0</v>
      </c>
      <c r="BW7" s="3">
        <v>0</v>
      </c>
      <c r="BX7" s="3">
        <v>0</v>
      </c>
      <c r="BY7" s="8">
        <f t="shared" ref="BY7:BY31" si="12">SUM(BT7:BX7)</f>
        <v>576</v>
      </c>
      <c r="BZ7" s="3"/>
      <c r="CA7" s="3">
        <v>6</v>
      </c>
      <c r="CB7" s="3">
        <v>3</v>
      </c>
      <c r="CC7" s="3">
        <v>8</v>
      </c>
      <c r="CD7" s="3">
        <v>34</v>
      </c>
      <c r="CE7" s="3">
        <v>37</v>
      </c>
      <c r="CF7" s="8">
        <f t="shared" ref="CF7:CF31" si="13">SUM(CA7:CE7)</f>
        <v>88</v>
      </c>
      <c r="CG7" s="3">
        <v>35</v>
      </c>
      <c r="CH7" s="3">
        <v>34</v>
      </c>
      <c r="CI7" s="3">
        <v>22</v>
      </c>
      <c r="CJ7" s="3">
        <v>33</v>
      </c>
      <c r="CK7" s="3">
        <v>37</v>
      </c>
      <c r="CL7" s="8">
        <f t="shared" ref="CL7:CL31" si="14">SUM(CG7:CK7)</f>
        <v>161</v>
      </c>
      <c r="CM7" s="3"/>
      <c r="CN7" s="3">
        <v>7</v>
      </c>
      <c r="CO7" s="3">
        <v>6</v>
      </c>
      <c r="CP7" s="3">
        <v>6</v>
      </c>
      <c r="CQ7" s="3">
        <v>34</v>
      </c>
      <c r="CR7" s="3">
        <v>0</v>
      </c>
      <c r="CS7" s="8">
        <f t="shared" ref="CS7:CS31" si="15">SUM(CN7:CR7)</f>
        <v>53</v>
      </c>
      <c r="CT7" s="3">
        <v>0</v>
      </c>
      <c r="CU7" s="3">
        <v>4</v>
      </c>
      <c r="CV7" s="3">
        <v>8</v>
      </c>
      <c r="CW7" s="3">
        <v>4</v>
      </c>
      <c r="CX7" s="3">
        <v>0</v>
      </c>
      <c r="CY7" s="8">
        <f t="shared" ref="CY7:CY31" si="16">SUM(CT7:CX7)</f>
        <v>16</v>
      </c>
      <c r="CZ7" s="3"/>
      <c r="DA7" s="3">
        <v>0</v>
      </c>
      <c r="DB7" s="3">
        <v>0</v>
      </c>
      <c r="DC7" s="3">
        <v>127</v>
      </c>
      <c r="DD7" s="3">
        <v>21</v>
      </c>
      <c r="DE7" s="3">
        <v>9</v>
      </c>
      <c r="DF7" s="8">
        <f t="shared" ref="DF7:DF31" si="17">SUM(DA7:DE7)</f>
        <v>157</v>
      </c>
      <c r="DG7" s="3">
        <v>92</v>
      </c>
      <c r="DH7" s="3">
        <v>0</v>
      </c>
      <c r="DI7" s="3">
        <v>0</v>
      </c>
      <c r="DJ7" s="3">
        <v>0</v>
      </c>
      <c r="DK7" s="3">
        <v>0</v>
      </c>
      <c r="DL7" s="8">
        <f t="shared" ref="DL7:DL31" si="18">SUM(DG7:DK7)</f>
        <v>92</v>
      </c>
      <c r="DM7" s="3"/>
      <c r="DN7" s="3">
        <v>20</v>
      </c>
      <c r="DO7" s="3">
        <v>18</v>
      </c>
      <c r="DP7" s="3">
        <v>19</v>
      </c>
      <c r="DQ7" s="3">
        <v>40</v>
      </c>
      <c r="DR7" s="3">
        <v>28</v>
      </c>
      <c r="DS7" s="8">
        <f t="shared" ref="DS7:DS31" si="19">SUM(DN7:DR7)</f>
        <v>125</v>
      </c>
      <c r="DT7" s="3">
        <v>29</v>
      </c>
      <c r="DU7" s="3">
        <v>19</v>
      </c>
      <c r="DV7" s="3">
        <v>2</v>
      </c>
      <c r="DW7" s="3">
        <v>67</v>
      </c>
      <c r="DX7" s="3">
        <v>30</v>
      </c>
      <c r="DY7" s="8">
        <f t="shared" ref="DY7:DY31" si="20">SUM(DT7:DX7)</f>
        <v>147</v>
      </c>
      <c r="DZ7" s="3"/>
      <c r="EA7" s="3">
        <v>7</v>
      </c>
      <c r="EB7" s="3">
        <v>5</v>
      </c>
      <c r="EC7" s="3">
        <v>4</v>
      </c>
      <c r="ED7" s="3">
        <v>6</v>
      </c>
      <c r="EE7" s="3">
        <v>20</v>
      </c>
      <c r="EF7" s="8">
        <f t="shared" ref="EF7:EF31" si="21">SUM(EA7:EE7)</f>
        <v>42</v>
      </c>
      <c r="EG7" s="3">
        <v>5</v>
      </c>
      <c r="EH7" s="3">
        <v>7</v>
      </c>
      <c r="EI7" s="3">
        <v>15</v>
      </c>
      <c r="EJ7" s="3">
        <v>13</v>
      </c>
      <c r="EK7" s="3">
        <v>2</v>
      </c>
      <c r="EL7" s="8">
        <f t="shared" ref="EL7:EL31" si="22">SUM(EG7:EK7)</f>
        <v>42</v>
      </c>
      <c r="EM7" s="3"/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8">
        <f t="shared" ref="ES7:ES31" si="23">SUM(EN7:ER7)</f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8">
        <f t="shared" ref="EY7:EY31" si="24">SUM(ET7:EX7)</f>
        <v>0</v>
      </c>
      <c r="EZ7" s="3"/>
      <c r="FA7" s="3">
        <v>1</v>
      </c>
      <c r="FB7" s="3">
        <v>24</v>
      </c>
      <c r="FC7" s="3">
        <v>57</v>
      </c>
      <c r="FD7" s="3">
        <v>21</v>
      </c>
      <c r="FE7" s="3">
        <v>71</v>
      </c>
      <c r="FF7" s="8">
        <f t="shared" ref="FF7:FF31" si="25">SUM(FA7:FE7)</f>
        <v>174</v>
      </c>
      <c r="FG7" s="3">
        <v>1</v>
      </c>
      <c r="FH7" s="3">
        <v>0</v>
      </c>
      <c r="FI7" s="3">
        <v>0</v>
      </c>
      <c r="FJ7" s="3">
        <v>0</v>
      </c>
      <c r="FK7" s="3">
        <v>1</v>
      </c>
      <c r="FL7" s="8">
        <f t="shared" ref="FL7:FL31" si="26">SUM(FG7:FK7)</f>
        <v>2</v>
      </c>
    </row>
    <row r="8" spans="1:168">
      <c r="A8" s="3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8">
        <f t="shared" si="0"/>
        <v>0</v>
      </c>
      <c r="H8" s="3">
        <v>0</v>
      </c>
      <c r="I8" s="3">
        <v>0</v>
      </c>
      <c r="J8" s="3">
        <v>0</v>
      </c>
      <c r="K8" s="3">
        <v>0</v>
      </c>
      <c r="L8" s="8">
        <f t="shared" si="1"/>
        <v>0</v>
      </c>
      <c r="M8" s="3"/>
      <c r="N8" s="3">
        <v>0</v>
      </c>
      <c r="O8" s="3">
        <v>0</v>
      </c>
      <c r="P8" s="3">
        <v>0</v>
      </c>
      <c r="Q8" s="3">
        <v>0</v>
      </c>
      <c r="R8" s="3">
        <f t="shared" si="2"/>
        <v>0</v>
      </c>
      <c r="S8" s="8">
        <f t="shared" si="3"/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8">
        <f t="shared" si="4"/>
        <v>0</v>
      </c>
      <c r="Z8" s="3"/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8">
        <f t="shared" si="5"/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8">
        <f t="shared" si="6"/>
        <v>0</v>
      </c>
      <c r="AM8" s="3"/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8">
        <f t="shared" si="7"/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8">
        <f t="shared" si="8"/>
        <v>0</v>
      </c>
      <c r="AZ8" s="3"/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8">
        <f t="shared" si="9"/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8">
        <f t="shared" si="10"/>
        <v>0</v>
      </c>
      <c r="BM8" s="3"/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8">
        <f t="shared" si="11"/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8">
        <f t="shared" si="12"/>
        <v>0</v>
      </c>
      <c r="BZ8" s="3"/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8">
        <f t="shared" si="13"/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8">
        <f t="shared" si="14"/>
        <v>0</v>
      </c>
      <c r="CM8" s="3"/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8">
        <f t="shared" si="15"/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8">
        <f t="shared" si="16"/>
        <v>0</v>
      </c>
      <c r="CZ8" s="3"/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8">
        <f t="shared" si="17"/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8">
        <f t="shared" si="18"/>
        <v>0</v>
      </c>
      <c r="DM8" s="3"/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8">
        <f t="shared" si="19"/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8">
        <f t="shared" si="20"/>
        <v>0</v>
      </c>
      <c r="DZ8" s="3"/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8">
        <f t="shared" si="21"/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8">
        <f t="shared" si="22"/>
        <v>0</v>
      </c>
      <c r="EM8" s="3"/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8">
        <f t="shared" si="23"/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8">
        <f t="shared" si="24"/>
        <v>0</v>
      </c>
      <c r="EZ8" s="3"/>
      <c r="FA8" s="3">
        <v>0</v>
      </c>
      <c r="FB8" s="3">
        <v>0</v>
      </c>
      <c r="FC8" s="3">
        <v>0</v>
      </c>
      <c r="FD8" s="3">
        <v>0</v>
      </c>
      <c r="FE8" s="3">
        <v>2</v>
      </c>
      <c r="FF8" s="8">
        <f t="shared" si="25"/>
        <v>2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8">
        <f t="shared" si="26"/>
        <v>0</v>
      </c>
    </row>
    <row r="9" spans="1:168">
      <c r="A9" s="3" t="s">
        <v>38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8">
        <f t="shared" si="0"/>
        <v>0</v>
      </c>
      <c r="H9" s="3">
        <v>0</v>
      </c>
      <c r="I9" s="3">
        <v>0</v>
      </c>
      <c r="J9" s="3">
        <v>0</v>
      </c>
      <c r="K9" s="3">
        <v>0</v>
      </c>
      <c r="L9" s="8">
        <f t="shared" si="1"/>
        <v>0</v>
      </c>
      <c r="M9" s="3"/>
      <c r="N9" s="3">
        <v>0</v>
      </c>
      <c r="O9" s="3">
        <v>0</v>
      </c>
      <c r="P9" s="3">
        <v>0</v>
      </c>
      <c r="Q9" s="3">
        <v>0</v>
      </c>
      <c r="R9" s="3">
        <f t="shared" si="2"/>
        <v>0</v>
      </c>
      <c r="S9" s="8">
        <f t="shared" si="3"/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8">
        <f t="shared" si="4"/>
        <v>0</v>
      </c>
      <c r="Z9" s="3"/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8">
        <f t="shared" si="5"/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8">
        <f t="shared" si="6"/>
        <v>0</v>
      </c>
      <c r="AM9" s="3"/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8">
        <f t="shared" si="7"/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8">
        <f t="shared" si="8"/>
        <v>0</v>
      </c>
      <c r="AZ9" s="3"/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8">
        <f t="shared" si="9"/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8">
        <f t="shared" si="10"/>
        <v>0</v>
      </c>
      <c r="BM9" s="3"/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8">
        <f t="shared" si="11"/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8">
        <f t="shared" si="12"/>
        <v>0</v>
      </c>
      <c r="BZ9" s="3"/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8">
        <f t="shared" si="13"/>
        <v>0</v>
      </c>
      <c r="CG9" s="3">
        <v>0</v>
      </c>
      <c r="CH9" s="3">
        <v>0</v>
      </c>
      <c r="CI9" s="3">
        <v>6</v>
      </c>
      <c r="CJ9" s="3">
        <v>0</v>
      </c>
      <c r="CK9" s="3">
        <v>0</v>
      </c>
      <c r="CL9" s="8">
        <f t="shared" si="14"/>
        <v>6</v>
      </c>
      <c r="CM9" s="3"/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8">
        <f t="shared" si="15"/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8">
        <f t="shared" si="16"/>
        <v>0</v>
      </c>
      <c r="CZ9" s="3"/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8">
        <f t="shared" si="17"/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8">
        <f t="shared" si="18"/>
        <v>0</v>
      </c>
      <c r="DM9" s="3"/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8">
        <f t="shared" si="19"/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8">
        <f t="shared" si="20"/>
        <v>0</v>
      </c>
      <c r="DZ9" s="3"/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8">
        <f t="shared" si="21"/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8">
        <f t="shared" si="22"/>
        <v>0</v>
      </c>
      <c r="EM9" s="3"/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8">
        <f t="shared" si="23"/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8">
        <f t="shared" si="24"/>
        <v>0</v>
      </c>
      <c r="EZ9" s="3"/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8">
        <f t="shared" si="25"/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8">
        <f t="shared" si="26"/>
        <v>0</v>
      </c>
    </row>
    <row r="10" spans="1:168">
      <c r="A10" s="3" t="s">
        <v>39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8">
        <f t="shared" si="0"/>
        <v>0</v>
      </c>
      <c r="H10" s="3">
        <v>0</v>
      </c>
      <c r="I10" s="3">
        <v>0</v>
      </c>
      <c r="J10" s="3">
        <v>0</v>
      </c>
      <c r="K10" s="3">
        <v>0</v>
      </c>
      <c r="L10" s="8">
        <f t="shared" si="1"/>
        <v>0</v>
      </c>
      <c r="M10" s="3"/>
      <c r="N10" s="3">
        <v>0</v>
      </c>
      <c r="O10" s="3">
        <v>0</v>
      </c>
      <c r="P10" s="3">
        <v>0</v>
      </c>
      <c r="Q10" s="3">
        <v>0</v>
      </c>
      <c r="R10" s="3">
        <f t="shared" si="2"/>
        <v>0</v>
      </c>
      <c r="S10" s="8">
        <f t="shared" si="3"/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8">
        <f t="shared" si="4"/>
        <v>0</v>
      </c>
      <c r="Z10" s="3"/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8">
        <f t="shared" si="5"/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8">
        <f t="shared" si="6"/>
        <v>0</v>
      </c>
      <c r="AM10" s="3"/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8">
        <f t="shared" si="7"/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8">
        <f t="shared" si="8"/>
        <v>0</v>
      </c>
      <c r="AZ10" s="3"/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8">
        <f t="shared" si="9"/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8">
        <f t="shared" si="10"/>
        <v>0</v>
      </c>
      <c r="BM10" s="3"/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8">
        <f t="shared" si="11"/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8">
        <f t="shared" si="12"/>
        <v>0</v>
      </c>
      <c r="BZ10" s="3"/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8">
        <f t="shared" si="13"/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8">
        <f t="shared" si="14"/>
        <v>0</v>
      </c>
      <c r="CM10" s="3"/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8">
        <f t="shared" si="15"/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8">
        <f t="shared" si="16"/>
        <v>0</v>
      </c>
      <c r="CZ10" s="3"/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8">
        <f t="shared" si="17"/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8">
        <f t="shared" si="18"/>
        <v>0</v>
      </c>
      <c r="DM10" s="3"/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8">
        <f t="shared" si="19"/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8">
        <f t="shared" si="20"/>
        <v>0</v>
      </c>
      <c r="DZ10" s="3"/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8">
        <f t="shared" si="21"/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8">
        <f t="shared" si="22"/>
        <v>0</v>
      </c>
      <c r="EM10" s="3"/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8">
        <f t="shared" si="23"/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8">
        <f t="shared" si="24"/>
        <v>0</v>
      </c>
      <c r="EZ10" s="3"/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8">
        <f t="shared" si="25"/>
        <v>0</v>
      </c>
      <c r="FG10" s="3">
        <v>0</v>
      </c>
      <c r="FH10" s="3">
        <v>0</v>
      </c>
      <c r="FI10" s="3">
        <v>4</v>
      </c>
      <c r="FJ10" s="3">
        <v>0</v>
      </c>
      <c r="FK10" s="3">
        <v>0</v>
      </c>
      <c r="FL10" s="8">
        <f t="shared" si="26"/>
        <v>4</v>
      </c>
    </row>
    <row r="11" spans="1:168">
      <c r="A11" s="3" t="s">
        <v>40</v>
      </c>
      <c r="B11" s="3">
        <v>0</v>
      </c>
      <c r="C11" s="3">
        <v>0</v>
      </c>
      <c r="D11" s="3">
        <v>0</v>
      </c>
      <c r="E11" s="3">
        <v>0</v>
      </c>
      <c r="F11" s="3">
        <v>369</v>
      </c>
      <c r="G11" s="8">
        <f t="shared" si="0"/>
        <v>369</v>
      </c>
      <c r="H11" s="3">
        <v>0</v>
      </c>
      <c r="I11" s="3">
        <v>0</v>
      </c>
      <c r="J11" s="3">
        <v>0</v>
      </c>
      <c r="K11" s="3">
        <v>86</v>
      </c>
      <c r="L11" s="8">
        <f t="shared" si="1"/>
        <v>86</v>
      </c>
      <c r="M11" s="3"/>
      <c r="N11" s="3">
        <v>0</v>
      </c>
      <c r="O11" s="3">
        <v>0</v>
      </c>
      <c r="P11" s="3">
        <v>0</v>
      </c>
      <c r="Q11" s="3">
        <v>27</v>
      </c>
      <c r="R11" s="3">
        <f t="shared" si="2"/>
        <v>0</v>
      </c>
      <c r="S11" s="8">
        <f t="shared" si="3"/>
        <v>27</v>
      </c>
      <c r="T11" s="3">
        <v>0</v>
      </c>
      <c r="U11" s="3">
        <v>0</v>
      </c>
      <c r="V11" s="3">
        <v>0</v>
      </c>
      <c r="W11" s="3">
        <v>0</v>
      </c>
      <c r="X11" s="3">
        <v>35</v>
      </c>
      <c r="Y11" s="8">
        <f t="shared" si="4"/>
        <v>35</v>
      </c>
      <c r="Z11" s="3"/>
      <c r="AA11" s="3">
        <v>26</v>
      </c>
      <c r="AB11" s="3">
        <v>31</v>
      </c>
      <c r="AC11" s="3">
        <v>0</v>
      </c>
      <c r="AD11" s="3">
        <v>0</v>
      </c>
      <c r="AE11" s="3">
        <v>31</v>
      </c>
      <c r="AF11" s="8">
        <f t="shared" si="5"/>
        <v>88</v>
      </c>
      <c r="AG11" s="3">
        <v>52</v>
      </c>
      <c r="AH11" s="3">
        <v>0</v>
      </c>
      <c r="AI11" s="3">
        <v>0</v>
      </c>
      <c r="AJ11" s="3">
        <v>0</v>
      </c>
      <c r="AK11" s="3">
        <v>0</v>
      </c>
      <c r="AL11" s="8">
        <f t="shared" si="6"/>
        <v>52</v>
      </c>
      <c r="AM11" s="3"/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8">
        <f t="shared" si="7"/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8">
        <f t="shared" si="8"/>
        <v>0</v>
      </c>
      <c r="AZ11" s="3"/>
      <c r="BA11" s="3">
        <v>1</v>
      </c>
      <c r="BB11" s="3">
        <v>3</v>
      </c>
      <c r="BC11" s="3">
        <v>47</v>
      </c>
      <c r="BD11" s="3">
        <v>12</v>
      </c>
      <c r="BE11" s="3">
        <v>37</v>
      </c>
      <c r="BF11" s="8">
        <f t="shared" si="9"/>
        <v>100</v>
      </c>
      <c r="BG11" s="3">
        <v>7</v>
      </c>
      <c r="BH11" s="3">
        <v>9</v>
      </c>
      <c r="BI11" s="3">
        <v>1</v>
      </c>
      <c r="BJ11" s="3">
        <v>137</v>
      </c>
      <c r="BK11" s="3">
        <v>9</v>
      </c>
      <c r="BL11" s="8">
        <f t="shared" si="10"/>
        <v>163</v>
      </c>
      <c r="BM11" s="3"/>
      <c r="BN11" s="3">
        <v>16</v>
      </c>
      <c r="BO11" s="3">
        <v>26</v>
      </c>
      <c r="BP11" s="3">
        <v>152</v>
      </c>
      <c r="BQ11" s="3">
        <v>20</v>
      </c>
      <c r="BR11" s="3">
        <v>124</v>
      </c>
      <c r="BS11" s="8">
        <f t="shared" si="11"/>
        <v>338</v>
      </c>
      <c r="BT11" s="3">
        <v>88</v>
      </c>
      <c r="BU11" s="3">
        <v>0</v>
      </c>
      <c r="BV11" s="3">
        <v>0</v>
      </c>
      <c r="BW11" s="3">
        <v>0</v>
      </c>
      <c r="BX11" s="3">
        <v>179</v>
      </c>
      <c r="BY11" s="8">
        <f t="shared" si="12"/>
        <v>267</v>
      </c>
      <c r="BZ11" s="3"/>
      <c r="CA11" s="3">
        <v>0</v>
      </c>
      <c r="CB11" s="3">
        <v>5</v>
      </c>
      <c r="CC11" s="3">
        <v>11</v>
      </c>
      <c r="CD11" s="3">
        <v>0</v>
      </c>
      <c r="CE11" s="3">
        <v>0</v>
      </c>
      <c r="CF11" s="8">
        <f t="shared" si="13"/>
        <v>16</v>
      </c>
      <c r="CG11" s="3">
        <v>5</v>
      </c>
      <c r="CH11" s="3">
        <v>0</v>
      </c>
      <c r="CI11" s="3">
        <v>0</v>
      </c>
      <c r="CJ11" s="3">
        <v>0</v>
      </c>
      <c r="CK11" s="3">
        <v>0</v>
      </c>
      <c r="CL11" s="8">
        <f t="shared" si="14"/>
        <v>5</v>
      </c>
      <c r="CM11" s="3"/>
      <c r="CN11" s="3">
        <v>28</v>
      </c>
      <c r="CO11" s="3">
        <v>57</v>
      </c>
      <c r="CP11" s="3">
        <v>89</v>
      </c>
      <c r="CQ11" s="3">
        <v>17</v>
      </c>
      <c r="CR11" s="3">
        <v>19</v>
      </c>
      <c r="CS11" s="8">
        <f t="shared" si="15"/>
        <v>210</v>
      </c>
      <c r="CT11" s="3">
        <v>108</v>
      </c>
      <c r="CU11" s="3">
        <v>7</v>
      </c>
      <c r="CV11" s="3">
        <v>0</v>
      </c>
      <c r="CW11" s="3">
        <v>26</v>
      </c>
      <c r="CX11" s="3">
        <v>93</v>
      </c>
      <c r="CY11" s="8">
        <f t="shared" si="16"/>
        <v>234</v>
      </c>
      <c r="CZ11" s="3"/>
      <c r="DA11" s="3">
        <v>26</v>
      </c>
      <c r="DB11" s="3">
        <v>26</v>
      </c>
      <c r="DC11" s="3">
        <v>378</v>
      </c>
      <c r="DD11" s="3">
        <v>587</v>
      </c>
      <c r="DE11" s="3">
        <v>0</v>
      </c>
      <c r="DF11" s="8">
        <f t="shared" si="17"/>
        <v>1017</v>
      </c>
      <c r="DG11" s="3">
        <v>334</v>
      </c>
      <c r="DH11" s="3">
        <v>0</v>
      </c>
      <c r="DI11" s="3">
        <v>247</v>
      </c>
      <c r="DJ11" s="3">
        <v>371</v>
      </c>
      <c r="DK11" s="3">
        <v>0</v>
      </c>
      <c r="DL11" s="8">
        <f t="shared" si="18"/>
        <v>952</v>
      </c>
      <c r="DM11" s="3"/>
      <c r="DN11" s="3">
        <v>100</v>
      </c>
      <c r="DO11" s="3">
        <v>35</v>
      </c>
      <c r="DP11" s="3">
        <v>60</v>
      </c>
      <c r="DQ11" s="3">
        <v>98</v>
      </c>
      <c r="DR11" s="3">
        <v>128</v>
      </c>
      <c r="DS11" s="8">
        <f t="shared" si="19"/>
        <v>421</v>
      </c>
      <c r="DT11" s="3">
        <v>48</v>
      </c>
      <c r="DU11" s="3">
        <v>114</v>
      </c>
      <c r="DV11" s="3">
        <v>65</v>
      </c>
      <c r="DW11" s="3">
        <v>3</v>
      </c>
      <c r="DX11" s="3">
        <v>75</v>
      </c>
      <c r="DY11" s="8">
        <f t="shared" si="20"/>
        <v>305</v>
      </c>
      <c r="DZ11" s="3"/>
      <c r="EA11" s="3">
        <v>1</v>
      </c>
      <c r="EB11" s="3">
        <v>0</v>
      </c>
      <c r="EC11" s="3">
        <v>0</v>
      </c>
      <c r="ED11" s="3">
        <v>0</v>
      </c>
      <c r="EE11" s="3">
        <v>0</v>
      </c>
      <c r="EF11" s="8">
        <f t="shared" si="21"/>
        <v>1</v>
      </c>
      <c r="EG11" s="3">
        <v>0</v>
      </c>
      <c r="EH11" s="3">
        <v>0</v>
      </c>
      <c r="EI11" s="3">
        <v>0</v>
      </c>
      <c r="EJ11" s="3">
        <v>2</v>
      </c>
      <c r="EK11" s="3">
        <v>0</v>
      </c>
      <c r="EL11" s="8">
        <f t="shared" si="22"/>
        <v>2</v>
      </c>
      <c r="EM11" s="3"/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8">
        <f t="shared" si="23"/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8">
        <f t="shared" si="24"/>
        <v>0</v>
      </c>
      <c r="EZ11" s="3"/>
      <c r="FA11" s="3">
        <v>0</v>
      </c>
      <c r="FB11" s="3">
        <v>0</v>
      </c>
      <c r="FC11" s="3">
        <v>1</v>
      </c>
      <c r="FD11" s="3">
        <v>0</v>
      </c>
      <c r="FE11" s="3">
        <v>1</v>
      </c>
      <c r="FF11" s="8">
        <f t="shared" si="25"/>
        <v>2</v>
      </c>
      <c r="FG11" s="3">
        <v>4</v>
      </c>
      <c r="FH11" s="3">
        <v>1</v>
      </c>
      <c r="FI11" s="3">
        <v>1</v>
      </c>
      <c r="FJ11" s="3">
        <v>8</v>
      </c>
      <c r="FK11" s="3">
        <v>0</v>
      </c>
      <c r="FL11" s="8">
        <f t="shared" si="26"/>
        <v>14</v>
      </c>
    </row>
    <row r="12" spans="1:168">
      <c r="A12" s="3" t="s">
        <v>41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8">
        <f t="shared" si="0"/>
        <v>0</v>
      </c>
      <c r="H12" s="3">
        <v>0</v>
      </c>
      <c r="I12" s="3">
        <v>0</v>
      </c>
      <c r="J12" s="3">
        <v>0</v>
      </c>
      <c r="K12" s="3">
        <v>0</v>
      </c>
      <c r="L12" s="8">
        <f t="shared" si="1"/>
        <v>0</v>
      </c>
      <c r="M12" s="3"/>
      <c r="N12" s="3">
        <v>0</v>
      </c>
      <c r="O12" s="3">
        <v>0</v>
      </c>
      <c r="P12" s="3">
        <v>0</v>
      </c>
      <c r="Q12" s="3">
        <v>51</v>
      </c>
      <c r="R12" s="3">
        <f t="shared" si="2"/>
        <v>0</v>
      </c>
      <c r="S12" s="8">
        <f t="shared" si="3"/>
        <v>51</v>
      </c>
      <c r="T12" s="3">
        <v>63</v>
      </c>
      <c r="U12" s="3">
        <v>0</v>
      </c>
      <c r="V12" s="3">
        <v>0</v>
      </c>
      <c r="W12" s="3">
        <v>0</v>
      </c>
      <c r="X12" s="3">
        <v>0</v>
      </c>
      <c r="Y12" s="8">
        <f t="shared" si="4"/>
        <v>63</v>
      </c>
      <c r="Z12" s="3"/>
      <c r="AA12" s="3">
        <v>0</v>
      </c>
      <c r="AB12" s="3">
        <v>0</v>
      </c>
      <c r="AC12" s="3">
        <v>0</v>
      </c>
      <c r="AD12" s="3">
        <v>27</v>
      </c>
      <c r="AE12" s="3">
        <v>0</v>
      </c>
      <c r="AF12" s="8">
        <f t="shared" si="5"/>
        <v>27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8">
        <f t="shared" si="6"/>
        <v>0</v>
      </c>
      <c r="AM12" s="3"/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8">
        <f t="shared" si="7"/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8">
        <f t="shared" si="8"/>
        <v>0</v>
      </c>
      <c r="AZ12" s="3"/>
      <c r="BA12" s="3">
        <v>17</v>
      </c>
      <c r="BB12" s="3">
        <v>0</v>
      </c>
      <c r="BC12" s="3">
        <v>0</v>
      </c>
      <c r="BD12" s="3">
        <v>0</v>
      </c>
      <c r="BE12" s="3">
        <v>5</v>
      </c>
      <c r="BF12" s="8">
        <f t="shared" si="9"/>
        <v>22</v>
      </c>
      <c r="BG12" s="3">
        <v>14</v>
      </c>
      <c r="BH12" s="3">
        <v>29</v>
      </c>
      <c r="BI12" s="3">
        <v>3</v>
      </c>
      <c r="BJ12" s="3">
        <v>0</v>
      </c>
      <c r="BK12" s="3">
        <v>6</v>
      </c>
      <c r="BL12" s="8">
        <f t="shared" si="10"/>
        <v>52</v>
      </c>
      <c r="BM12" s="3"/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8">
        <f t="shared" si="11"/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8">
        <f t="shared" si="12"/>
        <v>0</v>
      </c>
      <c r="BZ12" s="3"/>
      <c r="CA12" s="3">
        <v>0</v>
      </c>
      <c r="CB12" s="3">
        <v>5</v>
      </c>
      <c r="CC12" s="3">
        <v>6</v>
      </c>
      <c r="CD12" s="3">
        <v>0</v>
      </c>
      <c r="CE12" s="3">
        <v>15</v>
      </c>
      <c r="CF12" s="8">
        <f t="shared" si="13"/>
        <v>26</v>
      </c>
      <c r="CG12" s="3">
        <v>0</v>
      </c>
      <c r="CH12" s="3">
        <v>6</v>
      </c>
      <c r="CI12" s="3">
        <v>0</v>
      </c>
      <c r="CJ12" s="3">
        <v>0</v>
      </c>
      <c r="CK12" s="3">
        <v>0</v>
      </c>
      <c r="CL12" s="8">
        <f t="shared" si="14"/>
        <v>6</v>
      </c>
      <c r="CM12" s="3"/>
      <c r="CN12" s="3">
        <v>0</v>
      </c>
      <c r="CO12" s="3">
        <v>0</v>
      </c>
      <c r="CP12" s="3">
        <v>9</v>
      </c>
      <c r="CQ12" s="3">
        <v>0</v>
      </c>
      <c r="CR12" s="3">
        <v>0</v>
      </c>
      <c r="CS12" s="8">
        <f t="shared" si="15"/>
        <v>9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8">
        <f t="shared" si="16"/>
        <v>0</v>
      </c>
      <c r="CZ12" s="3"/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8">
        <f t="shared" si="17"/>
        <v>0</v>
      </c>
      <c r="DG12" s="3">
        <v>0</v>
      </c>
      <c r="DH12" s="3">
        <v>0</v>
      </c>
      <c r="DI12" s="3">
        <v>0</v>
      </c>
      <c r="DJ12" s="3">
        <v>0</v>
      </c>
      <c r="DK12" s="3">
        <v>24</v>
      </c>
      <c r="DL12" s="8">
        <f t="shared" si="18"/>
        <v>24</v>
      </c>
      <c r="DM12" s="3"/>
      <c r="DN12" s="3">
        <v>16</v>
      </c>
      <c r="DO12" s="3">
        <v>21</v>
      </c>
      <c r="DP12" s="3">
        <v>9</v>
      </c>
      <c r="DQ12" s="3">
        <v>30</v>
      </c>
      <c r="DR12" s="3">
        <v>11</v>
      </c>
      <c r="DS12" s="8">
        <f t="shared" si="19"/>
        <v>87</v>
      </c>
      <c r="DT12" s="3">
        <v>6</v>
      </c>
      <c r="DU12" s="3">
        <v>0</v>
      </c>
      <c r="DV12" s="3">
        <v>0</v>
      </c>
      <c r="DW12" s="3">
        <v>3</v>
      </c>
      <c r="DX12" s="3">
        <v>3</v>
      </c>
      <c r="DY12" s="8">
        <f t="shared" si="20"/>
        <v>12</v>
      </c>
      <c r="DZ12" s="3"/>
      <c r="EA12" s="3">
        <v>0</v>
      </c>
      <c r="EB12" s="3">
        <v>1</v>
      </c>
      <c r="EC12" s="3">
        <v>0</v>
      </c>
      <c r="ED12" s="3">
        <v>0</v>
      </c>
      <c r="EE12" s="3">
        <v>0</v>
      </c>
      <c r="EF12" s="8">
        <f t="shared" si="21"/>
        <v>1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8">
        <f t="shared" si="22"/>
        <v>0</v>
      </c>
      <c r="EM12" s="3"/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8">
        <f t="shared" si="23"/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8">
        <f t="shared" si="24"/>
        <v>0</v>
      </c>
      <c r="EZ12" s="3"/>
      <c r="FA12" s="3">
        <v>2</v>
      </c>
      <c r="FB12" s="3">
        <v>0</v>
      </c>
      <c r="FC12" s="3">
        <v>0</v>
      </c>
      <c r="FD12" s="3">
        <v>0</v>
      </c>
      <c r="FE12" s="3">
        <v>0</v>
      </c>
      <c r="FF12" s="8">
        <f t="shared" si="25"/>
        <v>2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8">
        <f t="shared" si="26"/>
        <v>0</v>
      </c>
    </row>
    <row r="13" spans="1:168">
      <c r="A13" s="3" t="s">
        <v>42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8">
        <f t="shared" si="0"/>
        <v>0</v>
      </c>
      <c r="H13" s="3">
        <v>0</v>
      </c>
      <c r="I13" s="3">
        <v>0</v>
      </c>
      <c r="J13" s="3">
        <v>0</v>
      </c>
      <c r="K13" s="3">
        <v>0</v>
      </c>
      <c r="L13" s="8">
        <f t="shared" si="1"/>
        <v>0</v>
      </c>
      <c r="M13" s="3"/>
      <c r="N13" s="3">
        <v>0</v>
      </c>
      <c r="O13" s="3">
        <v>20</v>
      </c>
      <c r="P13" s="3">
        <v>0</v>
      </c>
      <c r="Q13" s="3">
        <v>0</v>
      </c>
      <c r="R13" s="3">
        <f t="shared" si="2"/>
        <v>0</v>
      </c>
      <c r="S13" s="8">
        <f t="shared" si="3"/>
        <v>20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8">
        <f t="shared" si="4"/>
        <v>0</v>
      </c>
      <c r="Z13" s="3"/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8">
        <f t="shared" si="5"/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8">
        <f t="shared" si="6"/>
        <v>0</v>
      </c>
      <c r="AM13" s="3"/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8">
        <f t="shared" si="7"/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8">
        <f t="shared" si="8"/>
        <v>0</v>
      </c>
      <c r="AZ13" s="3"/>
      <c r="BA13" s="3">
        <v>12</v>
      </c>
      <c r="BB13" s="3">
        <v>3</v>
      </c>
      <c r="BC13" s="3">
        <v>32</v>
      </c>
      <c r="BD13" s="3">
        <v>12</v>
      </c>
      <c r="BE13" s="3">
        <v>12</v>
      </c>
      <c r="BF13" s="8">
        <f t="shared" si="9"/>
        <v>71</v>
      </c>
      <c r="BG13" s="3">
        <v>0</v>
      </c>
      <c r="BH13" s="3">
        <v>1</v>
      </c>
      <c r="BI13" s="3">
        <v>1</v>
      </c>
      <c r="BJ13" s="3">
        <v>0</v>
      </c>
      <c r="BK13" s="3">
        <v>0</v>
      </c>
      <c r="BL13" s="8">
        <f t="shared" si="10"/>
        <v>2</v>
      </c>
      <c r="BM13" s="3"/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8">
        <f t="shared" si="11"/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8">
        <f t="shared" si="12"/>
        <v>0</v>
      </c>
      <c r="BZ13" s="3"/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8">
        <f t="shared" si="13"/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8">
        <f t="shared" si="14"/>
        <v>0</v>
      </c>
      <c r="CM13" s="3"/>
      <c r="CN13" s="3">
        <v>0</v>
      </c>
      <c r="CO13" s="3">
        <v>7</v>
      </c>
      <c r="CP13" s="3">
        <v>0</v>
      </c>
      <c r="CQ13" s="3">
        <v>0</v>
      </c>
      <c r="CR13" s="3">
        <v>0</v>
      </c>
      <c r="CS13" s="8">
        <f t="shared" si="15"/>
        <v>7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8">
        <f t="shared" si="16"/>
        <v>0</v>
      </c>
      <c r="CZ13" s="3"/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8">
        <f t="shared" si="17"/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8">
        <f t="shared" si="18"/>
        <v>0</v>
      </c>
      <c r="DM13" s="3"/>
      <c r="DN13" s="3">
        <v>4</v>
      </c>
      <c r="DO13" s="3">
        <v>3</v>
      </c>
      <c r="DP13" s="3">
        <v>15</v>
      </c>
      <c r="DQ13" s="3">
        <v>5</v>
      </c>
      <c r="DR13" s="3">
        <v>4</v>
      </c>
      <c r="DS13" s="8">
        <f t="shared" si="19"/>
        <v>31</v>
      </c>
      <c r="DT13" s="3">
        <v>3</v>
      </c>
      <c r="DU13" s="3">
        <v>4</v>
      </c>
      <c r="DV13" s="3">
        <v>0</v>
      </c>
      <c r="DW13" s="3">
        <v>6</v>
      </c>
      <c r="DX13" s="3">
        <v>0</v>
      </c>
      <c r="DY13" s="8">
        <f t="shared" si="20"/>
        <v>13</v>
      </c>
      <c r="DZ13" s="3"/>
      <c r="EA13" s="3">
        <v>1</v>
      </c>
      <c r="EB13" s="3">
        <v>2</v>
      </c>
      <c r="EC13" s="3">
        <v>1</v>
      </c>
      <c r="ED13" s="3">
        <v>0</v>
      </c>
      <c r="EE13" s="3">
        <v>0</v>
      </c>
      <c r="EF13" s="8">
        <f t="shared" si="21"/>
        <v>4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8">
        <f t="shared" si="22"/>
        <v>0</v>
      </c>
      <c r="EM13" s="3"/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8">
        <f t="shared" si="23"/>
        <v>0</v>
      </c>
      <c r="ET13" s="3">
        <v>598</v>
      </c>
      <c r="EU13" s="3">
        <v>0</v>
      </c>
      <c r="EV13" s="3">
        <v>0</v>
      </c>
      <c r="EW13" s="3">
        <v>599</v>
      </c>
      <c r="EX13" s="3">
        <v>0</v>
      </c>
      <c r="EY13" s="8">
        <f t="shared" si="24"/>
        <v>1197</v>
      </c>
      <c r="EZ13" s="3"/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8">
        <f t="shared" si="25"/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8">
        <f t="shared" si="26"/>
        <v>0</v>
      </c>
    </row>
    <row r="14" spans="1:168">
      <c r="A14" s="3" t="s">
        <v>43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8">
        <f t="shared" si="0"/>
        <v>0</v>
      </c>
      <c r="H14" s="3">
        <v>0</v>
      </c>
      <c r="I14" s="3">
        <v>0</v>
      </c>
      <c r="J14" s="3">
        <v>0</v>
      </c>
      <c r="K14" s="3">
        <v>0</v>
      </c>
      <c r="L14" s="8">
        <f t="shared" si="1"/>
        <v>0</v>
      </c>
      <c r="M14" s="3"/>
      <c r="N14" s="3">
        <v>0</v>
      </c>
      <c r="O14" s="3">
        <v>0</v>
      </c>
      <c r="P14" s="3">
        <v>0</v>
      </c>
      <c r="Q14" s="3">
        <v>0</v>
      </c>
      <c r="R14" s="3">
        <f t="shared" si="2"/>
        <v>0</v>
      </c>
      <c r="S14" s="8">
        <f t="shared" si="3"/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8">
        <f t="shared" si="4"/>
        <v>0</v>
      </c>
      <c r="Z14" s="3"/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8">
        <f t="shared" si="5"/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8">
        <f t="shared" si="6"/>
        <v>0</v>
      </c>
      <c r="AM14" s="3"/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8">
        <f t="shared" si="7"/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8">
        <f t="shared" si="8"/>
        <v>0</v>
      </c>
      <c r="AZ14" s="3"/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8">
        <f t="shared" si="9"/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8">
        <f t="shared" si="10"/>
        <v>0</v>
      </c>
      <c r="BM14" s="3"/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8">
        <f t="shared" si="11"/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8">
        <f t="shared" si="12"/>
        <v>0</v>
      </c>
      <c r="BZ14" s="3"/>
      <c r="CA14" s="3">
        <v>0</v>
      </c>
      <c r="CB14" s="3">
        <v>0</v>
      </c>
      <c r="CC14" s="3">
        <v>10</v>
      </c>
      <c r="CD14" s="3">
        <v>0</v>
      </c>
      <c r="CE14" s="3">
        <v>0</v>
      </c>
      <c r="CF14" s="8">
        <f t="shared" si="13"/>
        <v>10</v>
      </c>
      <c r="CG14" s="3">
        <v>0</v>
      </c>
      <c r="CH14" s="3">
        <v>10</v>
      </c>
      <c r="CI14" s="3">
        <v>0</v>
      </c>
      <c r="CJ14" s="3">
        <v>0</v>
      </c>
      <c r="CK14" s="3">
        <v>0</v>
      </c>
      <c r="CL14" s="8">
        <f t="shared" si="14"/>
        <v>10</v>
      </c>
      <c r="CM14" s="3"/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8">
        <f t="shared" si="15"/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8">
        <f t="shared" si="16"/>
        <v>0</v>
      </c>
      <c r="CZ14" s="3"/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8">
        <f t="shared" si="17"/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8">
        <f t="shared" si="18"/>
        <v>0</v>
      </c>
      <c r="DM14" s="3"/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8">
        <f t="shared" si="19"/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8">
        <f t="shared" si="20"/>
        <v>0</v>
      </c>
      <c r="DZ14" s="3"/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8">
        <f t="shared" si="21"/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8">
        <f t="shared" si="22"/>
        <v>0</v>
      </c>
      <c r="EM14" s="3"/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8">
        <f t="shared" si="23"/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8">
        <f t="shared" si="24"/>
        <v>0</v>
      </c>
      <c r="EZ14" s="3"/>
      <c r="FA14" s="3">
        <v>7</v>
      </c>
      <c r="FB14" s="3">
        <v>102</v>
      </c>
      <c r="FC14" s="3">
        <v>111</v>
      </c>
      <c r="FD14" s="3">
        <v>25</v>
      </c>
      <c r="FE14" s="3">
        <v>1</v>
      </c>
      <c r="FF14" s="8">
        <f t="shared" si="25"/>
        <v>246</v>
      </c>
      <c r="FG14" s="3">
        <v>36</v>
      </c>
      <c r="FH14" s="3">
        <v>2</v>
      </c>
      <c r="FI14" s="3">
        <v>0</v>
      </c>
      <c r="FJ14" s="3">
        <v>20</v>
      </c>
      <c r="FK14" s="3">
        <v>1</v>
      </c>
      <c r="FL14" s="8">
        <f t="shared" si="26"/>
        <v>59</v>
      </c>
    </row>
    <row r="15" spans="1:168">
      <c r="A15" s="3" t="s">
        <v>44</v>
      </c>
      <c r="B15" s="3">
        <v>18</v>
      </c>
      <c r="C15" s="3">
        <v>11</v>
      </c>
      <c r="D15" s="3">
        <v>33</v>
      </c>
      <c r="E15" s="3">
        <v>0</v>
      </c>
      <c r="F15" s="3">
        <v>0</v>
      </c>
      <c r="G15" s="8">
        <f t="shared" si="0"/>
        <v>62</v>
      </c>
      <c r="H15" s="3">
        <v>4</v>
      </c>
      <c r="I15" s="3">
        <v>112</v>
      </c>
      <c r="J15" s="3">
        <v>0</v>
      </c>
      <c r="K15" s="3">
        <v>0</v>
      </c>
      <c r="L15" s="8">
        <f t="shared" si="1"/>
        <v>116</v>
      </c>
      <c r="M15" s="3"/>
      <c r="N15" s="3">
        <v>0</v>
      </c>
      <c r="O15" s="3">
        <v>0</v>
      </c>
      <c r="P15" s="3">
        <v>62</v>
      </c>
      <c r="Q15" s="3">
        <v>42</v>
      </c>
      <c r="R15" s="3">
        <f t="shared" si="2"/>
        <v>0</v>
      </c>
      <c r="S15" s="8">
        <f t="shared" si="3"/>
        <v>104</v>
      </c>
      <c r="T15" s="3">
        <v>84</v>
      </c>
      <c r="U15" s="3">
        <v>0</v>
      </c>
      <c r="V15" s="3">
        <v>0</v>
      </c>
      <c r="W15" s="3">
        <v>0</v>
      </c>
      <c r="X15" s="3">
        <v>36</v>
      </c>
      <c r="Y15" s="8">
        <f t="shared" si="4"/>
        <v>120</v>
      </c>
      <c r="Z15" s="3"/>
      <c r="AA15" s="3">
        <v>136</v>
      </c>
      <c r="AB15" s="3">
        <v>0</v>
      </c>
      <c r="AC15" s="3">
        <v>52</v>
      </c>
      <c r="AD15" s="3">
        <v>24</v>
      </c>
      <c r="AE15" s="3">
        <v>114</v>
      </c>
      <c r="AF15" s="8">
        <f t="shared" si="5"/>
        <v>326</v>
      </c>
      <c r="AG15" s="3">
        <v>0</v>
      </c>
      <c r="AH15" s="3">
        <v>0</v>
      </c>
      <c r="AI15" s="3">
        <v>99</v>
      </c>
      <c r="AJ15" s="3">
        <v>0</v>
      </c>
      <c r="AK15" s="3">
        <v>0</v>
      </c>
      <c r="AL15" s="8">
        <f t="shared" si="6"/>
        <v>99</v>
      </c>
      <c r="AM15" s="3"/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8">
        <f t="shared" si="7"/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8">
        <f t="shared" si="8"/>
        <v>0</v>
      </c>
      <c r="AZ15" s="3"/>
      <c r="BA15" s="3">
        <v>68</v>
      </c>
      <c r="BB15" s="3">
        <v>66</v>
      </c>
      <c r="BC15" s="3">
        <v>33</v>
      </c>
      <c r="BD15" s="3">
        <v>143</v>
      </c>
      <c r="BE15" s="3">
        <v>60</v>
      </c>
      <c r="BF15" s="8">
        <f t="shared" si="9"/>
        <v>370</v>
      </c>
      <c r="BG15" s="3">
        <v>113</v>
      </c>
      <c r="BH15" s="3">
        <v>180</v>
      </c>
      <c r="BI15" s="3">
        <v>12</v>
      </c>
      <c r="BJ15" s="3">
        <v>39</v>
      </c>
      <c r="BK15" s="3">
        <v>56</v>
      </c>
      <c r="BL15" s="8">
        <f t="shared" si="10"/>
        <v>400</v>
      </c>
      <c r="BM15" s="3"/>
      <c r="BN15" s="3">
        <v>291</v>
      </c>
      <c r="BO15" s="3">
        <v>115</v>
      </c>
      <c r="BP15" s="3">
        <v>225</v>
      </c>
      <c r="BQ15" s="3">
        <v>401</v>
      </c>
      <c r="BR15" s="3">
        <v>183</v>
      </c>
      <c r="BS15" s="8">
        <f t="shared" si="11"/>
        <v>1215</v>
      </c>
      <c r="BT15" s="3">
        <v>1179</v>
      </c>
      <c r="BU15" s="3">
        <v>65</v>
      </c>
      <c r="BV15" s="3">
        <v>481</v>
      </c>
      <c r="BW15" s="3">
        <v>0</v>
      </c>
      <c r="BX15" s="3">
        <v>45</v>
      </c>
      <c r="BY15" s="8">
        <f t="shared" si="12"/>
        <v>1770</v>
      </c>
      <c r="BZ15" s="3"/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8">
        <f t="shared" si="13"/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8">
        <f t="shared" si="14"/>
        <v>0</v>
      </c>
      <c r="CM15" s="3"/>
      <c r="CN15" s="3">
        <v>25</v>
      </c>
      <c r="CO15" s="3">
        <v>64</v>
      </c>
      <c r="CP15" s="3">
        <v>0</v>
      </c>
      <c r="CQ15" s="3">
        <v>155</v>
      </c>
      <c r="CR15" s="3">
        <v>15</v>
      </c>
      <c r="CS15" s="8">
        <f t="shared" si="15"/>
        <v>259</v>
      </c>
      <c r="CT15" s="3">
        <v>0</v>
      </c>
      <c r="CU15" s="3">
        <v>18</v>
      </c>
      <c r="CV15" s="3">
        <v>102</v>
      </c>
      <c r="CW15" s="3">
        <v>25</v>
      </c>
      <c r="CX15" s="3">
        <v>3</v>
      </c>
      <c r="CY15" s="8">
        <f t="shared" si="16"/>
        <v>148</v>
      </c>
      <c r="CZ15" s="3"/>
      <c r="DA15" s="3">
        <v>154</v>
      </c>
      <c r="DB15" s="3">
        <v>212</v>
      </c>
      <c r="DC15" s="3">
        <v>0</v>
      </c>
      <c r="DD15" s="3">
        <v>139</v>
      </c>
      <c r="DE15" s="3">
        <v>305</v>
      </c>
      <c r="DF15" s="8">
        <f t="shared" si="17"/>
        <v>810</v>
      </c>
      <c r="DG15" s="3">
        <v>300</v>
      </c>
      <c r="DH15" s="3">
        <v>80</v>
      </c>
      <c r="DI15" s="3">
        <v>46</v>
      </c>
      <c r="DJ15" s="3">
        <v>108</v>
      </c>
      <c r="DK15" s="3">
        <v>171</v>
      </c>
      <c r="DL15" s="8">
        <f t="shared" si="18"/>
        <v>705</v>
      </c>
      <c r="DM15" s="3"/>
      <c r="DN15" s="3">
        <v>235</v>
      </c>
      <c r="DO15" s="3">
        <v>380</v>
      </c>
      <c r="DP15" s="3">
        <v>411</v>
      </c>
      <c r="DQ15" s="3">
        <v>252</v>
      </c>
      <c r="DR15" s="3">
        <v>163</v>
      </c>
      <c r="DS15" s="8">
        <f t="shared" si="19"/>
        <v>1441</v>
      </c>
      <c r="DT15" s="3">
        <v>296</v>
      </c>
      <c r="DU15" s="3">
        <v>682</v>
      </c>
      <c r="DV15" s="3">
        <v>0</v>
      </c>
      <c r="DW15" s="3">
        <v>569</v>
      </c>
      <c r="DX15" s="3">
        <v>65</v>
      </c>
      <c r="DY15" s="8">
        <f t="shared" si="20"/>
        <v>1612</v>
      </c>
      <c r="DZ15" s="3"/>
      <c r="EA15" s="3">
        <v>52</v>
      </c>
      <c r="EB15" s="3">
        <v>26</v>
      </c>
      <c r="EC15" s="3">
        <v>4</v>
      </c>
      <c r="ED15" s="3">
        <v>12</v>
      </c>
      <c r="EE15" s="3">
        <v>76</v>
      </c>
      <c r="EF15" s="8">
        <f t="shared" si="21"/>
        <v>170</v>
      </c>
      <c r="EG15" s="3">
        <v>28</v>
      </c>
      <c r="EH15" s="3">
        <v>9</v>
      </c>
      <c r="EI15" s="3">
        <v>3</v>
      </c>
      <c r="EJ15" s="3">
        <v>25</v>
      </c>
      <c r="EK15" s="3">
        <v>4</v>
      </c>
      <c r="EL15" s="8">
        <f t="shared" si="22"/>
        <v>69</v>
      </c>
      <c r="EM15" s="3"/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8">
        <f t="shared" si="23"/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8">
        <f t="shared" si="24"/>
        <v>0</v>
      </c>
      <c r="EZ15" s="3"/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8">
        <f t="shared" si="25"/>
        <v>0</v>
      </c>
      <c r="FG15" s="3">
        <v>0</v>
      </c>
      <c r="FH15" s="3">
        <v>0</v>
      </c>
      <c r="FI15" s="3">
        <v>25</v>
      </c>
      <c r="FJ15" s="3">
        <v>7</v>
      </c>
      <c r="FK15" s="3">
        <v>0</v>
      </c>
      <c r="FL15" s="8">
        <f t="shared" si="26"/>
        <v>32</v>
      </c>
    </row>
    <row r="16" spans="1:168">
      <c r="A16" s="3" t="s">
        <v>45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8">
        <f t="shared" si="0"/>
        <v>0</v>
      </c>
      <c r="H16" s="3">
        <v>0</v>
      </c>
      <c r="I16" s="3">
        <v>0</v>
      </c>
      <c r="J16" s="3">
        <v>0</v>
      </c>
      <c r="K16" s="3">
        <v>0</v>
      </c>
      <c r="L16" s="8">
        <f t="shared" si="1"/>
        <v>0</v>
      </c>
      <c r="M16" s="3"/>
      <c r="N16" s="3">
        <v>0</v>
      </c>
      <c r="O16" s="3">
        <v>0</v>
      </c>
      <c r="P16" s="3">
        <v>0</v>
      </c>
      <c r="Q16" s="3">
        <v>0</v>
      </c>
      <c r="R16" s="3">
        <f t="shared" si="2"/>
        <v>0</v>
      </c>
      <c r="S16" s="8">
        <f t="shared" si="3"/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8">
        <f t="shared" si="4"/>
        <v>0</v>
      </c>
      <c r="Z16" s="3"/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8">
        <f t="shared" si="5"/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8">
        <f t="shared" si="6"/>
        <v>0</v>
      </c>
      <c r="AM16" s="3"/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8">
        <f t="shared" si="7"/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8">
        <f t="shared" si="8"/>
        <v>0</v>
      </c>
      <c r="AZ16" s="3"/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8">
        <f t="shared" si="9"/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8">
        <f t="shared" si="10"/>
        <v>0</v>
      </c>
      <c r="BM16" s="3"/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8">
        <f t="shared" si="11"/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8">
        <f t="shared" si="12"/>
        <v>0</v>
      </c>
      <c r="BZ16" s="3"/>
      <c r="CA16" s="3">
        <v>0</v>
      </c>
      <c r="CB16" s="3">
        <v>0</v>
      </c>
      <c r="CC16" s="3">
        <v>5</v>
      </c>
      <c r="CD16" s="3">
        <v>0</v>
      </c>
      <c r="CE16" s="3">
        <v>0</v>
      </c>
      <c r="CF16" s="8">
        <f t="shared" si="13"/>
        <v>5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8">
        <f t="shared" si="14"/>
        <v>0</v>
      </c>
      <c r="CM16" s="3"/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8">
        <f t="shared" si="15"/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8">
        <f t="shared" si="16"/>
        <v>0</v>
      </c>
      <c r="CZ16" s="3"/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8">
        <f t="shared" si="17"/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8">
        <f t="shared" si="18"/>
        <v>0</v>
      </c>
      <c r="DM16" s="3"/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8">
        <f t="shared" si="19"/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8">
        <f t="shared" si="20"/>
        <v>0</v>
      </c>
      <c r="DZ16" s="3"/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8">
        <f t="shared" si="21"/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8">
        <f t="shared" si="22"/>
        <v>0</v>
      </c>
      <c r="EM16" s="3"/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8">
        <f t="shared" si="23"/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8">
        <f t="shared" si="24"/>
        <v>0</v>
      </c>
      <c r="EZ16" s="3"/>
      <c r="FA16" s="3">
        <v>0</v>
      </c>
      <c r="FB16" s="3">
        <v>0</v>
      </c>
      <c r="FC16" s="3">
        <v>0</v>
      </c>
      <c r="FD16" s="3">
        <v>0</v>
      </c>
      <c r="FE16" s="3">
        <v>1</v>
      </c>
      <c r="FF16" s="8">
        <f t="shared" si="25"/>
        <v>1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8">
        <f t="shared" si="26"/>
        <v>0</v>
      </c>
    </row>
    <row r="17" spans="1:168">
      <c r="A17" s="3" t="s">
        <v>46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8">
        <f t="shared" si="0"/>
        <v>0</v>
      </c>
      <c r="H17" s="3">
        <v>0</v>
      </c>
      <c r="I17" s="3">
        <v>0</v>
      </c>
      <c r="J17" s="3">
        <v>0</v>
      </c>
      <c r="K17" s="3">
        <v>0</v>
      </c>
      <c r="L17" s="8">
        <f t="shared" si="1"/>
        <v>0</v>
      </c>
      <c r="M17" s="3"/>
      <c r="N17" s="3">
        <v>0</v>
      </c>
      <c r="O17" s="3">
        <v>0</v>
      </c>
      <c r="P17" s="3">
        <v>0</v>
      </c>
      <c r="Q17" s="3">
        <v>0</v>
      </c>
      <c r="R17" s="3">
        <f t="shared" si="2"/>
        <v>0</v>
      </c>
      <c r="S17" s="8">
        <f t="shared" si="3"/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8">
        <f t="shared" si="4"/>
        <v>0</v>
      </c>
      <c r="Z17" s="3"/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8">
        <f t="shared" si="5"/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8">
        <f t="shared" si="6"/>
        <v>0</v>
      </c>
      <c r="AM17" s="3"/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8">
        <f t="shared" si="7"/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8">
        <f t="shared" si="8"/>
        <v>0</v>
      </c>
      <c r="AZ17" s="3"/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8">
        <f t="shared" si="9"/>
        <v>0</v>
      </c>
      <c r="BG17" s="3">
        <v>0</v>
      </c>
      <c r="BH17" s="3">
        <v>0</v>
      </c>
      <c r="BI17" s="3">
        <v>0</v>
      </c>
      <c r="BJ17" s="3">
        <v>0</v>
      </c>
      <c r="BK17" s="3">
        <v>1</v>
      </c>
      <c r="BL17" s="8">
        <f t="shared" si="10"/>
        <v>1</v>
      </c>
      <c r="BM17" s="3"/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8">
        <f t="shared" si="11"/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8">
        <f t="shared" si="12"/>
        <v>0</v>
      </c>
      <c r="BZ17" s="3"/>
      <c r="CA17" s="3">
        <v>1</v>
      </c>
      <c r="CB17" s="3">
        <v>0</v>
      </c>
      <c r="CC17" s="3">
        <v>0</v>
      </c>
      <c r="CD17" s="3">
        <v>0</v>
      </c>
      <c r="CE17" s="3">
        <v>1</v>
      </c>
      <c r="CF17" s="8">
        <f t="shared" si="13"/>
        <v>2</v>
      </c>
      <c r="CG17" s="3">
        <v>1</v>
      </c>
      <c r="CH17" s="3">
        <v>0</v>
      </c>
      <c r="CI17" s="3">
        <v>1</v>
      </c>
      <c r="CJ17" s="3">
        <v>0</v>
      </c>
      <c r="CK17" s="3">
        <v>0</v>
      </c>
      <c r="CL17" s="8">
        <f t="shared" si="14"/>
        <v>2</v>
      </c>
      <c r="CM17" s="3"/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8">
        <f t="shared" si="15"/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8">
        <f t="shared" si="16"/>
        <v>0</v>
      </c>
      <c r="CZ17" s="3"/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8">
        <f t="shared" si="17"/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8">
        <f t="shared" si="18"/>
        <v>0</v>
      </c>
      <c r="DM17" s="3"/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8">
        <f t="shared" si="19"/>
        <v>0</v>
      </c>
      <c r="DT17" s="3">
        <v>0</v>
      </c>
      <c r="DU17" s="3">
        <v>0</v>
      </c>
      <c r="DV17" s="3">
        <v>0</v>
      </c>
      <c r="DW17" s="3">
        <v>0</v>
      </c>
      <c r="DX17" s="3">
        <v>4</v>
      </c>
      <c r="DY17" s="8">
        <f t="shared" si="20"/>
        <v>4</v>
      </c>
      <c r="DZ17" s="3"/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8">
        <f t="shared" si="21"/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8">
        <f t="shared" si="22"/>
        <v>0</v>
      </c>
      <c r="EM17" s="3"/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8">
        <f t="shared" si="23"/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8">
        <f t="shared" si="24"/>
        <v>0</v>
      </c>
      <c r="EZ17" s="3"/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8">
        <f t="shared" si="25"/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8">
        <f t="shared" si="26"/>
        <v>0</v>
      </c>
    </row>
    <row r="18" spans="1:168">
      <c r="A18" s="3" t="s">
        <v>47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8">
        <f t="shared" si="0"/>
        <v>0</v>
      </c>
      <c r="H18" s="3">
        <v>0</v>
      </c>
      <c r="I18" s="3">
        <v>0</v>
      </c>
      <c r="J18" s="3">
        <v>0</v>
      </c>
      <c r="K18" s="3">
        <v>0</v>
      </c>
      <c r="L18" s="8">
        <f t="shared" si="1"/>
        <v>0</v>
      </c>
      <c r="M18" s="3"/>
      <c r="N18" s="3">
        <v>24</v>
      </c>
      <c r="O18" s="3">
        <v>35</v>
      </c>
      <c r="P18" s="3">
        <v>0</v>
      </c>
      <c r="Q18" s="3">
        <v>117</v>
      </c>
      <c r="R18" s="3">
        <f t="shared" si="2"/>
        <v>0</v>
      </c>
      <c r="S18" s="8">
        <f t="shared" si="3"/>
        <v>176</v>
      </c>
      <c r="T18" s="3">
        <v>22</v>
      </c>
      <c r="U18" s="3">
        <v>0</v>
      </c>
      <c r="V18" s="3">
        <v>0</v>
      </c>
      <c r="W18" s="3">
        <v>0</v>
      </c>
      <c r="X18" s="3">
        <v>0</v>
      </c>
      <c r="Y18" s="8">
        <f t="shared" si="4"/>
        <v>22</v>
      </c>
      <c r="Z18" s="3"/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8">
        <f t="shared" si="5"/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8">
        <f t="shared" si="6"/>
        <v>0</v>
      </c>
      <c r="AM18" s="3"/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8">
        <f t="shared" si="7"/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8">
        <f t="shared" si="8"/>
        <v>0</v>
      </c>
      <c r="AZ18" s="3"/>
      <c r="BA18" s="3">
        <v>20</v>
      </c>
      <c r="BB18" s="3">
        <v>3</v>
      </c>
      <c r="BC18" s="3">
        <v>7</v>
      </c>
      <c r="BD18" s="3">
        <v>5</v>
      </c>
      <c r="BE18" s="3">
        <v>24</v>
      </c>
      <c r="BF18" s="8">
        <f t="shared" si="9"/>
        <v>59</v>
      </c>
      <c r="BG18" s="3">
        <v>13</v>
      </c>
      <c r="BH18" s="3">
        <v>0</v>
      </c>
      <c r="BI18" s="3">
        <v>4</v>
      </c>
      <c r="BJ18" s="3">
        <v>1</v>
      </c>
      <c r="BK18" s="3">
        <v>3</v>
      </c>
      <c r="BL18" s="8">
        <f t="shared" si="10"/>
        <v>21</v>
      </c>
      <c r="BM18" s="3"/>
      <c r="BN18" s="3">
        <v>36</v>
      </c>
      <c r="BO18" s="3">
        <v>46</v>
      </c>
      <c r="BP18" s="3">
        <v>24</v>
      </c>
      <c r="BQ18" s="3">
        <v>58</v>
      </c>
      <c r="BR18" s="3">
        <v>50</v>
      </c>
      <c r="BS18" s="8">
        <f t="shared" si="11"/>
        <v>214</v>
      </c>
      <c r="BT18" s="3">
        <v>1134</v>
      </c>
      <c r="BU18" s="3">
        <v>1347</v>
      </c>
      <c r="BV18" s="3">
        <v>108</v>
      </c>
      <c r="BW18" s="3">
        <v>0</v>
      </c>
      <c r="BX18" s="3">
        <v>0</v>
      </c>
      <c r="BY18" s="8">
        <f t="shared" si="12"/>
        <v>2589</v>
      </c>
      <c r="BZ18" s="3"/>
      <c r="CA18" s="3">
        <v>0</v>
      </c>
      <c r="CB18" s="3">
        <v>0</v>
      </c>
      <c r="CC18" s="3">
        <v>7</v>
      </c>
      <c r="CD18" s="3">
        <v>0</v>
      </c>
      <c r="CE18" s="3">
        <v>0</v>
      </c>
      <c r="CF18" s="8">
        <f t="shared" si="13"/>
        <v>7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8">
        <f t="shared" si="14"/>
        <v>0</v>
      </c>
      <c r="CM18" s="3"/>
      <c r="CN18" s="3">
        <v>142</v>
      </c>
      <c r="CO18" s="3">
        <v>26</v>
      </c>
      <c r="CP18" s="3">
        <v>7</v>
      </c>
      <c r="CQ18" s="3">
        <v>15</v>
      </c>
      <c r="CR18" s="3">
        <v>6</v>
      </c>
      <c r="CS18" s="8">
        <f t="shared" si="15"/>
        <v>196</v>
      </c>
      <c r="CT18" s="3">
        <v>12</v>
      </c>
      <c r="CU18" s="3">
        <v>0</v>
      </c>
      <c r="CV18" s="3">
        <v>27</v>
      </c>
      <c r="CW18" s="3">
        <v>24</v>
      </c>
      <c r="CX18" s="3">
        <v>14</v>
      </c>
      <c r="CY18" s="8">
        <f t="shared" si="16"/>
        <v>77</v>
      </c>
      <c r="CZ18" s="3"/>
      <c r="DA18" s="3">
        <v>0</v>
      </c>
      <c r="DB18" s="3">
        <v>229</v>
      </c>
      <c r="DC18" s="3">
        <v>48</v>
      </c>
      <c r="DD18" s="3">
        <v>0</v>
      </c>
      <c r="DE18" s="3">
        <v>0</v>
      </c>
      <c r="DF18" s="8">
        <f t="shared" si="17"/>
        <v>277</v>
      </c>
      <c r="DG18" s="3">
        <v>12</v>
      </c>
      <c r="DH18" s="3">
        <v>0</v>
      </c>
      <c r="DI18" s="3">
        <v>42</v>
      </c>
      <c r="DJ18" s="3">
        <v>0</v>
      </c>
      <c r="DK18" s="3">
        <v>124</v>
      </c>
      <c r="DL18" s="8">
        <f t="shared" si="18"/>
        <v>178</v>
      </c>
      <c r="DM18" s="3"/>
      <c r="DN18" s="3">
        <v>55</v>
      </c>
      <c r="DO18" s="3">
        <v>66</v>
      </c>
      <c r="DP18" s="3">
        <v>45</v>
      </c>
      <c r="DQ18" s="3">
        <v>60</v>
      </c>
      <c r="DR18" s="3">
        <v>31</v>
      </c>
      <c r="DS18" s="8">
        <f t="shared" si="19"/>
        <v>257</v>
      </c>
      <c r="DT18" s="3">
        <v>89</v>
      </c>
      <c r="DU18" s="3">
        <v>116</v>
      </c>
      <c r="DV18" s="3">
        <v>29</v>
      </c>
      <c r="DW18" s="3">
        <v>58</v>
      </c>
      <c r="DX18" s="3">
        <v>41</v>
      </c>
      <c r="DY18" s="8">
        <f t="shared" si="20"/>
        <v>333</v>
      </c>
      <c r="DZ18" s="3"/>
      <c r="EA18" s="3">
        <v>3</v>
      </c>
      <c r="EB18" s="3">
        <v>5</v>
      </c>
      <c r="EC18" s="3">
        <v>0</v>
      </c>
      <c r="ED18" s="3">
        <v>4</v>
      </c>
      <c r="EE18" s="3">
        <v>0</v>
      </c>
      <c r="EF18" s="8">
        <f t="shared" si="21"/>
        <v>12</v>
      </c>
      <c r="EG18" s="3">
        <v>3</v>
      </c>
      <c r="EH18" s="3">
        <v>1</v>
      </c>
      <c r="EI18" s="3">
        <v>2</v>
      </c>
      <c r="EJ18" s="3">
        <v>0</v>
      </c>
      <c r="EK18" s="3">
        <v>0</v>
      </c>
      <c r="EL18" s="8">
        <f t="shared" si="22"/>
        <v>6</v>
      </c>
      <c r="EM18" s="3"/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8">
        <f t="shared" si="23"/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8">
        <f t="shared" si="24"/>
        <v>0</v>
      </c>
      <c r="EZ18" s="3"/>
      <c r="FA18" s="3">
        <v>3</v>
      </c>
      <c r="FB18" s="3">
        <v>0</v>
      </c>
      <c r="FC18" s="3">
        <v>0</v>
      </c>
      <c r="FD18" s="3">
        <v>2</v>
      </c>
      <c r="FE18" s="3">
        <v>33</v>
      </c>
      <c r="FF18" s="8">
        <f t="shared" si="25"/>
        <v>38</v>
      </c>
      <c r="FG18" s="3">
        <v>7</v>
      </c>
      <c r="FH18" s="3">
        <v>1</v>
      </c>
      <c r="FI18" s="3">
        <v>19</v>
      </c>
      <c r="FJ18" s="3">
        <v>1</v>
      </c>
      <c r="FK18" s="3">
        <v>7</v>
      </c>
      <c r="FL18" s="8">
        <f t="shared" si="26"/>
        <v>35</v>
      </c>
    </row>
    <row r="19" spans="1:168">
      <c r="A19" s="3" t="s">
        <v>48</v>
      </c>
      <c r="B19" s="3">
        <v>50</v>
      </c>
      <c r="C19" s="3">
        <v>110</v>
      </c>
      <c r="D19" s="3">
        <v>366</v>
      </c>
      <c r="E19" s="3">
        <v>113</v>
      </c>
      <c r="F19" s="3">
        <v>36</v>
      </c>
      <c r="G19" s="8">
        <f t="shared" si="0"/>
        <v>675</v>
      </c>
      <c r="H19" s="3">
        <v>75</v>
      </c>
      <c r="I19" s="3">
        <v>0</v>
      </c>
      <c r="J19" s="3">
        <v>98</v>
      </c>
      <c r="K19" s="3">
        <v>14</v>
      </c>
      <c r="L19" s="8">
        <f t="shared" si="1"/>
        <v>187</v>
      </c>
      <c r="M19" s="3"/>
      <c r="N19" s="3">
        <v>0</v>
      </c>
      <c r="O19" s="3">
        <v>83</v>
      </c>
      <c r="P19" s="3">
        <v>0</v>
      </c>
      <c r="Q19" s="3">
        <v>0</v>
      </c>
      <c r="R19" s="3">
        <f t="shared" si="2"/>
        <v>0</v>
      </c>
      <c r="S19" s="8">
        <f t="shared" si="3"/>
        <v>83</v>
      </c>
      <c r="T19" s="3">
        <v>0</v>
      </c>
      <c r="U19" s="3">
        <v>0</v>
      </c>
      <c r="V19" s="3">
        <v>0</v>
      </c>
      <c r="W19" s="3">
        <v>0</v>
      </c>
      <c r="X19" s="3">
        <v>87</v>
      </c>
      <c r="Y19" s="8">
        <f t="shared" si="4"/>
        <v>87</v>
      </c>
      <c r="Z19" s="3"/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8">
        <f t="shared" si="5"/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8">
        <f t="shared" si="6"/>
        <v>0</v>
      </c>
      <c r="AM19" s="3"/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8">
        <f t="shared" si="7"/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8">
        <f t="shared" si="8"/>
        <v>0</v>
      </c>
      <c r="AZ19" s="3"/>
      <c r="BA19" s="3">
        <v>17</v>
      </c>
      <c r="BB19" s="3">
        <v>0</v>
      </c>
      <c r="BC19" s="3">
        <v>32</v>
      </c>
      <c r="BD19" s="3">
        <v>3</v>
      </c>
      <c r="BE19" s="3">
        <v>0</v>
      </c>
      <c r="BF19" s="8">
        <f t="shared" si="9"/>
        <v>52</v>
      </c>
      <c r="BG19" s="3">
        <v>0</v>
      </c>
      <c r="BH19" s="3">
        <v>11</v>
      </c>
      <c r="BI19" s="3">
        <v>5</v>
      </c>
      <c r="BJ19" s="3">
        <v>10</v>
      </c>
      <c r="BK19" s="3">
        <v>0</v>
      </c>
      <c r="BL19" s="8">
        <f t="shared" si="10"/>
        <v>26</v>
      </c>
      <c r="BM19" s="3"/>
      <c r="BN19" s="3">
        <v>105</v>
      </c>
      <c r="BO19" s="3">
        <v>30</v>
      </c>
      <c r="BP19" s="3">
        <v>11</v>
      </c>
      <c r="BQ19" s="3">
        <v>0</v>
      </c>
      <c r="BR19" s="3">
        <v>0</v>
      </c>
      <c r="BS19" s="8">
        <f t="shared" si="11"/>
        <v>146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8">
        <f t="shared" si="12"/>
        <v>0</v>
      </c>
      <c r="BZ19" s="3"/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8">
        <f t="shared" si="13"/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8">
        <f t="shared" si="14"/>
        <v>0</v>
      </c>
      <c r="CM19" s="3"/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8">
        <f t="shared" si="15"/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8">
        <f t="shared" si="16"/>
        <v>0</v>
      </c>
      <c r="CZ19" s="3"/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8">
        <f t="shared" si="17"/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8">
        <f t="shared" si="18"/>
        <v>0</v>
      </c>
      <c r="DM19" s="3"/>
      <c r="DN19" s="3">
        <v>0</v>
      </c>
      <c r="DO19" s="3">
        <v>0</v>
      </c>
      <c r="DP19" s="3">
        <v>6</v>
      </c>
      <c r="DQ19" s="3">
        <v>0</v>
      </c>
      <c r="DR19" s="3">
        <v>0</v>
      </c>
      <c r="DS19" s="8">
        <f t="shared" si="19"/>
        <v>6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8">
        <f t="shared" si="20"/>
        <v>0</v>
      </c>
      <c r="DZ19" s="3"/>
      <c r="EA19" s="3">
        <v>0</v>
      </c>
      <c r="EB19" s="3">
        <v>0</v>
      </c>
      <c r="EC19" s="3">
        <v>0</v>
      </c>
      <c r="ED19" s="3">
        <v>0</v>
      </c>
      <c r="EE19" s="3">
        <v>3</v>
      </c>
      <c r="EF19" s="8">
        <f t="shared" si="21"/>
        <v>3</v>
      </c>
      <c r="EG19" s="3">
        <v>0</v>
      </c>
      <c r="EH19" s="3">
        <v>0</v>
      </c>
      <c r="EI19" s="3">
        <v>0</v>
      </c>
      <c r="EJ19" s="3">
        <v>0</v>
      </c>
      <c r="EK19" s="3">
        <v>4</v>
      </c>
      <c r="EL19" s="8">
        <f t="shared" si="22"/>
        <v>4</v>
      </c>
      <c r="EM19" s="3"/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8">
        <f t="shared" si="23"/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8">
        <f t="shared" si="24"/>
        <v>0</v>
      </c>
      <c r="EZ19" s="3"/>
      <c r="FA19" s="3">
        <v>8</v>
      </c>
      <c r="FB19" s="3">
        <v>2</v>
      </c>
      <c r="FC19" s="3">
        <v>1</v>
      </c>
      <c r="FD19" s="3">
        <v>0</v>
      </c>
      <c r="FE19" s="3">
        <v>21</v>
      </c>
      <c r="FF19" s="8">
        <f t="shared" si="25"/>
        <v>32</v>
      </c>
      <c r="FG19" s="3">
        <v>2</v>
      </c>
      <c r="FH19" s="3">
        <v>17</v>
      </c>
      <c r="FI19" s="3">
        <v>1</v>
      </c>
      <c r="FJ19" s="3">
        <v>0</v>
      </c>
      <c r="FK19" s="3">
        <v>1</v>
      </c>
      <c r="FL19" s="8">
        <f t="shared" si="26"/>
        <v>21</v>
      </c>
    </row>
    <row r="20" spans="1:168">
      <c r="A20" s="3" t="s">
        <v>49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8">
        <f t="shared" si="0"/>
        <v>0</v>
      </c>
      <c r="H20" s="3">
        <v>0</v>
      </c>
      <c r="I20" s="3">
        <v>0</v>
      </c>
      <c r="J20" s="3">
        <v>0</v>
      </c>
      <c r="K20" s="3">
        <v>0</v>
      </c>
      <c r="L20" s="8">
        <f t="shared" si="1"/>
        <v>0</v>
      </c>
      <c r="M20" s="3"/>
      <c r="N20" s="3">
        <v>0</v>
      </c>
      <c r="O20" s="3">
        <v>0</v>
      </c>
      <c r="P20" s="3">
        <v>0</v>
      </c>
      <c r="Q20" s="3">
        <v>0</v>
      </c>
      <c r="R20" s="3">
        <f t="shared" si="2"/>
        <v>0</v>
      </c>
      <c r="S20" s="8">
        <f t="shared" si="3"/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8">
        <f t="shared" si="4"/>
        <v>0</v>
      </c>
      <c r="Z20" s="3"/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8">
        <f t="shared" si="5"/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8">
        <f t="shared" si="6"/>
        <v>0</v>
      </c>
      <c r="AM20" s="3"/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8">
        <f t="shared" si="7"/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8">
        <f t="shared" si="8"/>
        <v>0</v>
      </c>
      <c r="AZ20" s="3"/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8">
        <f t="shared" si="9"/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8">
        <f t="shared" si="10"/>
        <v>0</v>
      </c>
      <c r="BM20" s="3"/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8">
        <f t="shared" si="11"/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8">
        <f t="shared" si="12"/>
        <v>0</v>
      </c>
      <c r="BZ20" s="3"/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8">
        <f t="shared" si="13"/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8">
        <f t="shared" si="14"/>
        <v>0</v>
      </c>
      <c r="CM20" s="3"/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8">
        <f t="shared" si="15"/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8">
        <f t="shared" si="16"/>
        <v>0</v>
      </c>
      <c r="CZ20" s="3"/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8">
        <f t="shared" si="17"/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8">
        <f t="shared" si="18"/>
        <v>0</v>
      </c>
      <c r="DM20" s="3"/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8">
        <f t="shared" si="19"/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8">
        <f t="shared" si="20"/>
        <v>0</v>
      </c>
      <c r="DZ20" s="3"/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8">
        <f t="shared" si="21"/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8">
        <f t="shared" si="22"/>
        <v>0</v>
      </c>
      <c r="EM20" s="3"/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8">
        <f t="shared" si="23"/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8">
        <f t="shared" si="24"/>
        <v>0</v>
      </c>
      <c r="EZ20" s="3"/>
      <c r="FA20" s="3">
        <v>0</v>
      </c>
      <c r="FB20" s="3">
        <v>0</v>
      </c>
      <c r="FC20" s="3">
        <v>1</v>
      </c>
      <c r="FD20" s="3">
        <v>0</v>
      </c>
      <c r="FE20" s="3">
        <v>0</v>
      </c>
      <c r="FF20" s="8">
        <f t="shared" si="25"/>
        <v>1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8">
        <f t="shared" si="26"/>
        <v>0</v>
      </c>
    </row>
    <row r="21" spans="1:168">
      <c r="A21" s="3" t="s">
        <v>50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8">
        <f t="shared" si="0"/>
        <v>0</v>
      </c>
      <c r="H21" s="3">
        <v>0</v>
      </c>
      <c r="I21" s="3">
        <v>0</v>
      </c>
      <c r="J21" s="3">
        <v>0</v>
      </c>
      <c r="K21" s="3">
        <v>0</v>
      </c>
      <c r="L21" s="8">
        <f t="shared" si="1"/>
        <v>0</v>
      </c>
      <c r="M21" s="3"/>
      <c r="N21" s="3">
        <v>0</v>
      </c>
      <c r="O21" s="3">
        <v>0</v>
      </c>
      <c r="P21" s="3">
        <v>0</v>
      </c>
      <c r="Q21" s="3">
        <v>0</v>
      </c>
      <c r="R21" s="3">
        <f t="shared" si="2"/>
        <v>0</v>
      </c>
      <c r="S21" s="8">
        <f t="shared" si="3"/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8">
        <f t="shared" si="4"/>
        <v>0</v>
      </c>
      <c r="Z21" s="3"/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8">
        <f t="shared" si="5"/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8">
        <f t="shared" si="6"/>
        <v>0</v>
      </c>
      <c r="AM21" s="3"/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8">
        <f t="shared" si="7"/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8">
        <f t="shared" si="8"/>
        <v>0</v>
      </c>
      <c r="AZ21" s="3"/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8">
        <f t="shared" si="9"/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8">
        <f t="shared" si="10"/>
        <v>0</v>
      </c>
      <c r="BM21" s="3"/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8">
        <f t="shared" si="11"/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8">
        <f t="shared" si="12"/>
        <v>0</v>
      </c>
      <c r="BZ21" s="3"/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8">
        <f t="shared" si="13"/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8">
        <f t="shared" si="14"/>
        <v>0</v>
      </c>
      <c r="CM21" s="3"/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8">
        <f t="shared" si="15"/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8">
        <f t="shared" si="16"/>
        <v>0</v>
      </c>
      <c r="CZ21" s="3"/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8">
        <f t="shared" si="17"/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8">
        <f t="shared" si="18"/>
        <v>0</v>
      </c>
      <c r="DM21" s="3"/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8">
        <f t="shared" si="19"/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8">
        <f t="shared" si="20"/>
        <v>0</v>
      </c>
      <c r="DZ21" s="3"/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8">
        <f t="shared" si="21"/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8">
        <f t="shared" si="22"/>
        <v>0</v>
      </c>
      <c r="EM21" s="3"/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8">
        <f t="shared" si="23"/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8">
        <f t="shared" si="24"/>
        <v>0</v>
      </c>
      <c r="EZ21" s="3"/>
      <c r="FA21" s="3">
        <v>0</v>
      </c>
      <c r="FB21" s="3">
        <v>0</v>
      </c>
      <c r="FC21" s="3">
        <v>0</v>
      </c>
      <c r="FD21" s="3">
        <v>1</v>
      </c>
      <c r="FE21" s="3">
        <v>0</v>
      </c>
      <c r="FF21" s="8">
        <f t="shared" si="25"/>
        <v>1</v>
      </c>
      <c r="FG21" s="3">
        <v>0</v>
      </c>
      <c r="FH21" s="3">
        <v>0</v>
      </c>
      <c r="FI21" s="3">
        <v>2</v>
      </c>
      <c r="FJ21" s="3">
        <v>0</v>
      </c>
      <c r="FK21" s="3">
        <v>0</v>
      </c>
      <c r="FL21" s="8">
        <f t="shared" si="26"/>
        <v>2</v>
      </c>
    </row>
    <row r="22" spans="1:168">
      <c r="A22" s="3" t="s">
        <v>51</v>
      </c>
      <c r="B22" s="3">
        <v>116</v>
      </c>
      <c r="C22" s="3">
        <v>43</v>
      </c>
      <c r="D22" s="3">
        <v>330</v>
      </c>
      <c r="E22" s="3">
        <v>106</v>
      </c>
      <c r="F22" s="3">
        <v>88</v>
      </c>
      <c r="G22" s="8">
        <f t="shared" si="0"/>
        <v>683</v>
      </c>
      <c r="H22" s="3">
        <v>223</v>
      </c>
      <c r="I22" s="3">
        <v>4</v>
      </c>
      <c r="J22" s="3">
        <v>0</v>
      </c>
      <c r="K22" s="3">
        <v>164</v>
      </c>
      <c r="L22" s="8">
        <f t="shared" si="1"/>
        <v>391</v>
      </c>
      <c r="M22" s="3"/>
      <c r="N22" s="3">
        <v>30</v>
      </c>
      <c r="O22" s="3">
        <v>48</v>
      </c>
      <c r="P22" s="3">
        <v>57</v>
      </c>
      <c r="Q22" s="3">
        <v>0</v>
      </c>
      <c r="R22" s="3">
        <f t="shared" si="2"/>
        <v>0</v>
      </c>
      <c r="S22" s="8">
        <f t="shared" si="3"/>
        <v>135</v>
      </c>
      <c r="T22" s="3">
        <v>49</v>
      </c>
      <c r="U22" s="3">
        <v>19</v>
      </c>
      <c r="V22" s="3">
        <v>0</v>
      </c>
      <c r="W22" s="3">
        <v>113</v>
      </c>
      <c r="X22" s="3">
        <v>0</v>
      </c>
      <c r="Y22" s="8">
        <f t="shared" si="4"/>
        <v>181</v>
      </c>
      <c r="Z22" s="3"/>
      <c r="AA22" s="3">
        <v>40</v>
      </c>
      <c r="AB22" s="3">
        <v>0</v>
      </c>
      <c r="AC22" s="3">
        <v>0</v>
      </c>
      <c r="AD22" s="3">
        <v>60</v>
      </c>
      <c r="AE22" s="3">
        <v>38</v>
      </c>
      <c r="AF22" s="8">
        <f t="shared" si="5"/>
        <v>138</v>
      </c>
      <c r="AG22" s="3">
        <v>0</v>
      </c>
      <c r="AH22" s="3">
        <v>0</v>
      </c>
      <c r="AI22" s="3">
        <v>185</v>
      </c>
      <c r="AJ22" s="3">
        <v>68</v>
      </c>
      <c r="AK22" s="3">
        <v>515</v>
      </c>
      <c r="AL22" s="8">
        <f t="shared" si="6"/>
        <v>768</v>
      </c>
      <c r="AM22" s="3"/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8">
        <f t="shared" si="7"/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8">
        <f t="shared" si="8"/>
        <v>0</v>
      </c>
      <c r="AZ22" s="3"/>
      <c r="BA22" s="3">
        <v>53</v>
      </c>
      <c r="BB22" s="3">
        <v>51</v>
      </c>
      <c r="BC22" s="3">
        <v>62</v>
      </c>
      <c r="BD22" s="3">
        <v>56</v>
      </c>
      <c r="BE22" s="3">
        <v>75</v>
      </c>
      <c r="BF22" s="8">
        <f t="shared" si="9"/>
        <v>297</v>
      </c>
      <c r="BG22" s="3">
        <v>95</v>
      </c>
      <c r="BH22" s="3">
        <v>80</v>
      </c>
      <c r="BI22" s="3">
        <v>27</v>
      </c>
      <c r="BJ22" s="3">
        <v>105</v>
      </c>
      <c r="BK22" s="3">
        <v>48</v>
      </c>
      <c r="BL22" s="8">
        <f t="shared" si="10"/>
        <v>355</v>
      </c>
      <c r="BM22" s="3"/>
      <c r="BN22" s="3">
        <v>274</v>
      </c>
      <c r="BO22" s="3">
        <v>148</v>
      </c>
      <c r="BP22" s="3">
        <v>415</v>
      </c>
      <c r="BQ22" s="3">
        <v>169</v>
      </c>
      <c r="BR22" s="3">
        <v>129</v>
      </c>
      <c r="BS22" s="8">
        <f t="shared" si="11"/>
        <v>1135</v>
      </c>
      <c r="BT22" s="3">
        <v>241</v>
      </c>
      <c r="BU22" s="3">
        <v>179</v>
      </c>
      <c r="BV22" s="3">
        <v>0</v>
      </c>
      <c r="BW22" s="3">
        <v>0</v>
      </c>
      <c r="BX22" s="3">
        <v>0</v>
      </c>
      <c r="BY22" s="8">
        <f t="shared" si="12"/>
        <v>420</v>
      </c>
      <c r="BZ22" s="3"/>
      <c r="CA22" s="3">
        <v>35</v>
      </c>
      <c r="CB22" s="3">
        <v>40</v>
      </c>
      <c r="CC22" s="3">
        <v>63</v>
      </c>
      <c r="CD22" s="3">
        <v>0</v>
      </c>
      <c r="CE22" s="3">
        <v>0</v>
      </c>
      <c r="CF22" s="8">
        <f t="shared" si="13"/>
        <v>138</v>
      </c>
      <c r="CG22" s="3">
        <v>19</v>
      </c>
      <c r="CH22" s="3">
        <v>17</v>
      </c>
      <c r="CI22" s="3">
        <v>15</v>
      </c>
      <c r="CJ22" s="3">
        <v>6</v>
      </c>
      <c r="CK22" s="3">
        <v>16</v>
      </c>
      <c r="CL22" s="8">
        <f t="shared" si="14"/>
        <v>73</v>
      </c>
      <c r="CM22" s="3"/>
      <c r="CN22" s="3">
        <v>13</v>
      </c>
      <c r="CO22" s="3">
        <v>22</v>
      </c>
      <c r="CP22" s="3">
        <v>30</v>
      </c>
      <c r="CQ22" s="3">
        <v>48</v>
      </c>
      <c r="CR22" s="3">
        <v>42</v>
      </c>
      <c r="CS22" s="8">
        <f t="shared" si="15"/>
        <v>155</v>
      </c>
      <c r="CT22" s="3">
        <v>0</v>
      </c>
      <c r="CU22" s="3">
        <v>0</v>
      </c>
      <c r="CV22" s="3">
        <v>0</v>
      </c>
      <c r="CW22" s="3">
        <v>61</v>
      </c>
      <c r="CX22" s="3">
        <v>0</v>
      </c>
      <c r="CY22" s="8">
        <f t="shared" si="16"/>
        <v>61</v>
      </c>
      <c r="CZ22" s="3"/>
      <c r="DA22" s="3">
        <v>61</v>
      </c>
      <c r="DB22" s="3">
        <v>410</v>
      </c>
      <c r="DC22" s="3">
        <v>231</v>
      </c>
      <c r="DD22" s="3">
        <v>33</v>
      </c>
      <c r="DE22" s="3">
        <v>529</v>
      </c>
      <c r="DF22" s="8">
        <f t="shared" si="17"/>
        <v>1264</v>
      </c>
      <c r="DG22" s="3">
        <v>10</v>
      </c>
      <c r="DH22" s="3">
        <v>92</v>
      </c>
      <c r="DI22" s="3">
        <v>231</v>
      </c>
      <c r="DJ22" s="3">
        <v>326</v>
      </c>
      <c r="DK22" s="3">
        <v>40</v>
      </c>
      <c r="DL22" s="8">
        <f t="shared" si="18"/>
        <v>699</v>
      </c>
      <c r="DM22" s="3"/>
      <c r="DN22" s="3">
        <v>153</v>
      </c>
      <c r="DO22" s="3">
        <v>64</v>
      </c>
      <c r="DP22" s="3">
        <v>33</v>
      </c>
      <c r="DQ22" s="3">
        <v>78</v>
      </c>
      <c r="DR22" s="3">
        <v>53</v>
      </c>
      <c r="DS22" s="8">
        <f t="shared" si="19"/>
        <v>381</v>
      </c>
      <c r="DT22" s="3">
        <v>68</v>
      </c>
      <c r="DU22" s="3">
        <v>114</v>
      </c>
      <c r="DV22" s="3">
        <v>71</v>
      </c>
      <c r="DW22" s="3">
        <v>78</v>
      </c>
      <c r="DX22" s="3">
        <v>21</v>
      </c>
      <c r="DY22" s="8">
        <f t="shared" si="20"/>
        <v>352</v>
      </c>
      <c r="DZ22" s="3"/>
      <c r="EA22" s="3">
        <v>19</v>
      </c>
      <c r="EB22" s="3">
        <v>27</v>
      </c>
      <c r="EC22" s="3">
        <v>0</v>
      </c>
      <c r="ED22" s="3">
        <v>8</v>
      </c>
      <c r="EE22" s="3">
        <v>5</v>
      </c>
      <c r="EF22" s="8">
        <f t="shared" si="21"/>
        <v>59</v>
      </c>
      <c r="EG22" s="3">
        <v>16</v>
      </c>
      <c r="EH22" s="3">
        <v>13</v>
      </c>
      <c r="EI22" s="3">
        <v>14</v>
      </c>
      <c r="EJ22" s="3">
        <v>11</v>
      </c>
      <c r="EK22" s="3">
        <v>19</v>
      </c>
      <c r="EL22" s="8">
        <f t="shared" si="22"/>
        <v>73</v>
      </c>
      <c r="EM22" s="3"/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8">
        <f t="shared" si="23"/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8">
        <f t="shared" si="24"/>
        <v>0</v>
      </c>
      <c r="EZ22" s="3"/>
      <c r="FA22" s="3">
        <v>7</v>
      </c>
      <c r="FB22" s="3">
        <v>15</v>
      </c>
      <c r="FC22" s="3">
        <v>87</v>
      </c>
      <c r="FD22" s="3">
        <v>13</v>
      </c>
      <c r="FE22" s="3">
        <v>8</v>
      </c>
      <c r="FF22" s="8">
        <f t="shared" si="25"/>
        <v>130</v>
      </c>
      <c r="FG22" s="3">
        <v>4</v>
      </c>
      <c r="FH22" s="3">
        <v>11</v>
      </c>
      <c r="FI22" s="3">
        <v>21</v>
      </c>
      <c r="FJ22" s="3">
        <v>0</v>
      </c>
      <c r="FK22" s="3">
        <v>3</v>
      </c>
      <c r="FL22" s="8">
        <f t="shared" si="26"/>
        <v>39</v>
      </c>
    </row>
    <row r="23" spans="1:168">
      <c r="A23" s="3" t="s">
        <v>52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8">
        <f t="shared" si="0"/>
        <v>0</v>
      </c>
      <c r="H23" s="3">
        <v>0</v>
      </c>
      <c r="I23" s="3">
        <v>0</v>
      </c>
      <c r="J23" s="3">
        <v>0</v>
      </c>
      <c r="K23" s="3">
        <v>0</v>
      </c>
      <c r="L23" s="8">
        <f t="shared" si="1"/>
        <v>0</v>
      </c>
      <c r="M23" s="3"/>
      <c r="N23" s="3">
        <v>0</v>
      </c>
      <c r="O23" s="3">
        <v>0</v>
      </c>
      <c r="P23" s="3">
        <v>0</v>
      </c>
      <c r="Q23" s="3">
        <v>0</v>
      </c>
      <c r="R23" s="3">
        <f t="shared" si="2"/>
        <v>0</v>
      </c>
      <c r="S23" s="8">
        <f t="shared" si="3"/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8">
        <f t="shared" si="4"/>
        <v>0</v>
      </c>
      <c r="Z23" s="3"/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8">
        <f t="shared" si="5"/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8">
        <f t="shared" si="6"/>
        <v>0</v>
      </c>
      <c r="AM23" s="3"/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8">
        <f t="shared" si="7"/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8">
        <f t="shared" si="8"/>
        <v>0</v>
      </c>
      <c r="AZ23" s="3"/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8">
        <f t="shared" si="9"/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8">
        <f t="shared" si="10"/>
        <v>0</v>
      </c>
      <c r="BM23" s="3"/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8">
        <f t="shared" si="11"/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8">
        <f t="shared" si="12"/>
        <v>0</v>
      </c>
      <c r="BZ23" s="3"/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8">
        <f t="shared" si="13"/>
        <v>0</v>
      </c>
      <c r="CG23" s="3">
        <v>0</v>
      </c>
      <c r="CH23" s="3">
        <v>0</v>
      </c>
      <c r="CI23" s="3">
        <v>0</v>
      </c>
      <c r="CJ23" s="3">
        <v>11</v>
      </c>
      <c r="CK23" s="3">
        <v>0</v>
      </c>
      <c r="CL23" s="8">
        <f t="shared" si="14"/>
        <v>11</v>
      </c>
      <c r="CM23" s="3"/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8">
        <f t="shared" si="15"/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8">
        <f t="shared" si="16"/>
        <v>0</v>
      </c>
      <c r="CZ23" s="3"/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8">
        <f t="shared" si="17"/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8">
        <f t="shared" si="18"/>
        <v>0</v>
      </c>
      <c r="DM23" s="3"/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8">
        <f t="shared" si="19"/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8">
        <f t="shared" si="20"/>
        <v>0</v>
      </c>
      <c r="DZ23" s="3"/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8">
        <f t="shared" si="21"/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8">
        <f t="shared" si="22"/>
        <v>0</v>
      </c>
      <c r="EM23" s="3"/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8">
        <f t="shared" si="23"/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8">
        <f t="shared" si="24"/>
        <v>0</v>
      </c>
      <c r="EZ23" s="3"/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8">
        <f t="shared" si="25"/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8">
        <f t="shared" si="26"/>
        <v>0</v>
      </c>
    </row>
    <row r="24" spans="1:168">
      <c r="A24" s="3" t="s">
        <v>53</v>
      </c>
      <c r="B24" s="3">
        <v>307</v>
      </c>
      <c r="C24" s="3">
        <v>0</v>
      </c>
      <c r="D24" s="3">
        <v>0</v>
      </c>
      <c r="E24" s="3">
        <v>35</v>
      </c>
      <c r="F24" s="3">
        <v>0</v>
      </c>
      <c r="G24" s="8">
        <f t="shared" si="0"/>
        <v>342</v>
      </c>
      <c r="H24" s="3">
        <v>0</v>
      </c>
      <c r="I24" s="3">
        <v>0</v>
      </c>
      <c r="J24" s="3">
        <v>12</v>
      </c>
      <c r="K24" s="3">
        <v>0</v>
      </c>
      <c r="L24" s="8">
        <f t="shared" si="1"/>
        <v>12</v>
      </c>
      <c r="M24" s="3"/>
      <c r="N24" s="3">
        <v>0</v>
      </c>
      <c r="O24" s="3">
        <v>0</v>
      </c>
      <c r="P24" s="3">
        <v>0</v>
      </c>
      <c r="Q24" s="3">
        <v>0</v>
      </c>
      <c r="R24" s="3">
        <f t="shared" si="2"/>
        <v>0</v>
      </c>
      <c r="S24" s="8">
        <f t="shared" si="3"/>
        <v>0</v>
      </c>
      <c r="T24" s="3">
        <v>0</v>
      </c>
      <c r="U24" s="3">
        <v>139</v>
      </c>
      <c r="V24" s="3">
        <v>0</v>
      </c>
      <c r="W24" s="3">
        <v>0</v>
      </c>
      <c r="X24" s="3">
        <v>0</v>
      </c>
      <c r="Y24" s="8">
        <f t="shared" si="4"/>
        <v>139</v>
      </c>
      <c r="Z24" s="3"/>
      <c r="AA24" s="3">
        <v>251</v>
      </c>
      <c r="AB24" s="3">
        <v>0</v>
      </c>
      <c r="AC24" s="3">
        <v>0</v>
      </c>
      <c r="AD24" s="3">
        <v>78</v>
      </c>
      <c r="AE24" s="3">
        <v>213</v>
      </c>
      <c r="AF24" s="8">
        <f t="shared" si="5"/>
        <v>542</v>
      </c>
      <c r="AG24" s="3">
        <v>93</v>
      </c>
      <c r="AH24" s="3">
        <v>0</v>
      </c>
      <c r="AI24" s="3">
        <v>0</v>
      </c>
      <c r="AJ24" s="3">
        <v>126</v>
      </c>
      <c r="AK24" s="3">
        <v>0</v>
      </c>
      <c r="AL24" s="8">
        <f t="shared" si="6"/>
        <v>219</v>
      </c>
      <c r="AM24" s="3"/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8">
        <f t="shared" si="7"/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8">
        <f t="shared" si="8"/>
        <v>0</v>
      </c>
      <c r="AZ24" s="3"/>
      <c r="BA24" s="3">
        <v>15</v>
      </c>
      <c r="BB24" s="3">
        <v>16</v>
      </c>
      <c r="BC24" s="3">
        <v>8</v>
      </c>
      <c r="BD24" s="3">
        <v>14</v>
      </c>
      <c r="BE24" s="3">
        <v>18</v>
      </c>
      <c r="BF24" s="8">
        <f t="shared" si="9"/>
        <v>71</v>
      </c>
      <c r="BG24" s="3">
        <v>19</v>
      </c>
      <c r="BH24" s="3">
        <v>23</v>
      </c>
      <c r="BI24" s="3">
        <v>0</v>
      </c>
      <c r="BJ24" s="3">
        <v>0</v>
      </c>
      <c r="BK24" s="3">
        <v>0</v>
      </c>
      <c r="BL24" s="8">
        <f t="shared" si="10"/>
        <v>42</v>
      </c>
      <c r="BM24" s="3"/>
      <c r="BN24" s="3">
        <v>52</v>
      </c>
      <c r="BO24" s="3">
        <v>101</v>
      </c>
      <c r="BP24" s="3">
        <v>270</v>
      </c>
      <c r="BQ24" s="3">
        <v>16</v>
      </c>
      <c r="BR24" s="3">
        <v>226</v>
      </c>
      <c r="BS24" s="8">
        <f t="shared" si="11"/>
        <v>665</v>
      </c>
      <c r="BT24" s="3">
        <v>1018</v>
      </c>
      <c r="BU24" s="3">
        <v>247</v>
      </c>
      <c r="BV24" s="3">
        <v>70</v>
      </c>
      <c r="BW24" s="3">
        <v>0</v>
      </c>
      <c r="BX24" s="3">
        <v>0</v>
      </c>
      <c r="BY24" s="8">
        <f t="shared" si="12"/>
        <v>1335</v>
      </c>
      <c r="BZ24" s="3"/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8">
        <f t="shared" si="13"/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8">
        <f t="shared" si="14"/>
        <v>0</v>
      </c>
      <c r="CM24" s="3"/>
      <c r="CN24" s="3">
        <v>5</v>
      </c>
      <c r="CO24" s="3">
        <v>48</v>
      </c>
      <c r="CP24" s="3">
        <v>18</v>
      </c>
      <c r="CQ24" s="3">
        <v>17</v>
      </c>
      <c r="CR24" s="3">
        <v>37</v>
      </c>
      <c r="CS24" s="8">
        <f t="shared" si="15"/>
        <v>125</v>
      </c>
      <c r="CT24" s="3">
        <v>9</v>
      </c>
      <c r="CU24" s="3">
        <v>14</v>
      </c>
      <c r="CV24" s="3">
        <v>15</v>
      </c>
      <c r="CW24" s="3">
        <v>13</v>
      </c>
      <c r="CX24" s="3">
        <v>0</v>
      </c>
      <c r="CY24" s="8">
        <f t="shared" si="16"/>
        <v>51</v>
      </c>
      <c r="CZ24" s="3"/>
      <c r="DA24" s="3">
        <v>10</v>
      </c>
      <c r="DB24" s="3">
        <v>59</v>
      </c>
      <c r="DC24" s="3">
        <v>0</v>
      </c>
      <c r="DD24" s="3">
        <v>0</v>
      </c>
      <c r="DE24" s="3">
        <v>0</v>
      </c>
      <c r="DF24" s="8">
        <f t="shared" si="17"/>
        <v>69</v>
      </c>
      <c r="DG24" s="3">
        <v>0</v>
      </c>
      <c r="DH24" s="3">
        <v>21</v>
      </c>
      <c r="DI24" s="3">
        <v>0</v>
      </c>
      <c r="DJ24" s="3">
        <v>104</v>
      </c>
      <c r="DK24" s="3">
        <v>0</v>
      </c>
      <c r="DL24" s="8">
        <f t="shared" si="18"/>
        <v>125</v>
      </c>
      <c r="DM24" s="3"/>
      <c r="DN24" s="3">
        <v>63</v>
      </c>
      <c r="DO24" s="3">
        <v>55</v>
      </c>
      <c r="DP24" s="3">
        <v>64</v>
      </c>
      <c r="DQ24" s="3">
        <v>69</v>
      </c>
      <c r="DR24" s="3">
        <v>71</v>
      </c>
      <c r="DS24" s="8">
        <f t="shared" si="19"/>
        <v>322</v>
      </c>
      <c r="DT24" s="3">
        <v>64</v>
      </c>
      <c r="DU24" s="3">
        <v>42</v>
      </c>
      <c r="DV24" s="3">
        <v>24</v>
      </c>
      <c r="DW24" s="3">
        <v>79</v>
      </c>
      <c r="DX24" s="3">
        <v>244</v>
      </c>
      <c r="DY24" s="8">
        <f t="shared" si="20"/>
        <v>453</v>
      </c>
      <c r="DZ24" s="3"/>
      <c r="EA24" s="3">
        <v>2</v>
      </c>
      <c r="EB24" s="3">
        <v>16</v>
      </c>
      <c r="EC24" s="3">
        <v>5</v>
      </c>
      <c r="ED24" s="3">
        <v>1</v>
      </c>
      <c r="EE24" s="3">
        <v>0</v>
      </c>
      <c r="EF24" s="8">
        <f t="shared" si="21"/>
        <v>24</v>
      </c>
      <c r="EG24" s="3">
        <v>0</v>
      </c>
      <c r="EH24" s="3">
        <v>17</v>
      </c>
      <c r="EI24" s="3">
        <v>0</v>
      </c>
      <c r="EJ24" s="3">
        <v>3</v>
      </c>
      <c r="EK24" s="3">
        <v>0</v>
      </c>
      <c r="EL24" s="8">
        <f t="shared" si="22"/>
        <v>20</v>
      </c>
      <c r="EM24" s="3"/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8">
        <f t="shared" si="23"/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8">
        <f t="shared" si="24"/>
        <v>0</v>
      </c>
      <c r="EZ24" s="3"/>
      <c r="FA24" s="3">
        <v>0</v>
      </c>
      <c r="FB24" s="3">
        <v>0</v>
      </c>
      <c r="FC24" s="3">
        <v>2</v>
      </c>
      <c r="FD24" s="3">
        <v>0</v>
      </c>
      <c r="FE24" s="3">
        <v>0</v>
      </c>
      <c r="FF24" s="8">
        <f t="shared" si="25"/>
        <v>2</v>
      </c>
      <c r="FG24" s="3">
        <v>1</v>
      </c>
      <c r="FH24" s="3">
        <v>1</v>
      </c>
      <c r="FI24" s="3">
        <v>0</v>
      </c>
      <c r="FJ24" s="3">
        <v>0</v>
      </c>
      <c r="FK24" s="3">
        <v>2</v>
      </c>
      <c r="FL24" s="8">
        <f t="shared" si="26"/>
        <v>4</v>
      </c>
    </row>
    <row r="25" spans="1:168">
      <c r="A25" s="3" t="s">
        <v>54</v>
      </c>
      <c r="B25" s="3">
        <v>0</v>
      </c>
      <c r="C25" s="3">
        <v>0</v>
      </c>
      <c r="D25" s="3">
        <v>0</v>
      </c>
      <c r="E25" s="3">
        <v>0</v>
      </c>
      <c r="F25" s="3">
        <v>70</v>
      </c>
      <c r="G25" s="8">
        <f t="shared" si="0"/>
        <v>70</v>
      </c>
      <c r="H25" s="3">
        <v>32</v>
      </c>
      <c r="I25" s="3">
        <v>2</v>
      </c>
      <c r="J25" s="3">
        <v>39</v>
      </c>
      <c r="K25" s="3">
        <v>90</v>
      </c>
      <c r="L25" s="8">
        <f t="shared" si="1"/>
        <v>163</v>
      </c>
      <c r="M25" s="3"/>
      <c r="N25" s="3">
        <v>0</v>
      </c>
      <c r="O25" s="3">
        <v>0</v>
      </c>
      <c r="P25" s="3">
        <v>0</v>
      </c>
      <c r="Q25" s="3">
        <v>0</v>
      </c>
      <c r="R25" s="3">
        <f t="shared" si="2"/>
        <v>0</v>
      </c>
      <c r="S25" s="8">
        <f t="shared" si="3"/>
        <v>0</v>
      </c>
      <c r="T25" s="3">
        <v>0</v>
      </c>
      <c r="U25" s="3">
        <v>26</v>
      </c>
      <c r="V25" s="3">
        <v>0</v>
      </c>
      <c r="W25" s="3">
        <v>24</v>
      </c>
      <c r="X25" s="3">
        <v>0</v>
      </c>
      <c r="Y25" s="8">
        <f t="shared" si="4"/>
        <v>50</v>
      </c>
      <c r="Z25" s="3"/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8">
        <f t="shared" si="5"/>
        <v>0</v>
      </c>
      <c r="AG25" s="3">
        <v>0</v>
      </c>
      <c r="AH25" s="3">
        <v>52</v>
      </c>
      <c r="AI25" s="3">
        <v>23</v>
      </c>
      <c r="AJ25" s="3">
        <v>0</v>
      </c>
      <c r="AK25" s="3">
        <v>0</v>
      </c>
      <c r="AL25" s="8">
        <f t="shared" si="6"/>
        <v>75</v>
      </c>
      <c r="AM25" s="3"/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8">
        <f t="shared" si="7"/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8">
        <f t="shared" si="8"/>
        <v>0</v>
      </c>
      <c r="AZ25" s="3"/>
      <c r="BA25" s="3">
        <v>14</v>
      </c>
      <c r="BB25" s="3">
        <v>0</v>
      </c>
      <c r="BC25" s="3">
        <v>16</v>
      </c>
      <c r="BD25" s="3">
        <v>15</v>
      </c>
      <c r="BE25" s="3">
        <v>6</v>
      </c>
      <c r="BF25" s="8">
        <f t="shared" si="9"/>
        <v>51</v>
      </c>
      <c r="BG25" s="3">
        <v>31</v>
      </c>
      <c r="BH25" s="3">
        <v>4</v>
      </c>
      <c r="BI25" s="3">
        <v>0</v>
      </c>
      <c r="BJ25" s="3">
        <v>25</v>
      </c>
      <c r="BK25" s="3">
        <v>32</v>
      </c>
      <c r="BL25" s="8">
        <f t="shared" si="10"/>
        <v>92</v>
      </c>
      <c r="BM25" s="3"/>
      <c r="BN25" s="3">
        <v>232</v>
      </c>
      <c r="BO25" s="3">
        <v>19</v>
      </c>
      <c r="BP25" s="3">
        <v>0</v>
      </c>
      <c r="BQ25" s="3">
        <v>182</v>
      </c>
      <c r="BR25" s="3">
        <v>0</v>
      </c>
      <c r="BS25" s="8">
        <f t="shared" si="11"/>
        <v>433</v>
      </c>
      <c r="BT25" s="3">
        <v>0</v>
      </c>
      <c r="BU25" s="3">
        <v>89</v>
      </c>
      <c r="BV25" s="3">
        <v>0</v>
      </c>
      <c r="BW25" s="3">
        <v>0</v>
      </c>
      <c r="BX25" s="3">
        <v>54</v>
      </c>
      <c r="BY25" s="8">
        <f t="shared" si="12"/>
        <v>143</v>
      </c>
      <c r="BZ25" s="3"/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8">
        <f t="shared" si="13"/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8">
        <f t="shared" si="14"/>
        <v>0</v>
      </c>
      <c r="CM25" s="3"/>
      <c r="CN25" s="3">
        <v>28</v>
      </c>
      <c r="CO25" s="3">
        <v>0</v>
      </c>
      <c r="CP25" s="3">
        <v>0</v>
      </c>
      <c r="CQ25" s="3">
        <v>27</v>
      </c>
      <c r="CR25" s="3">
        <v>1</v>
      </c>
      <c r="CS25" s="8">
        <f t="shared" si="15"/>
        <v>56</v>
      </c>
      <c r="CT25" s="3">
        <v>178</v>
      </c>
      <c r="CU25" s="3">
        <v>0</v>
      </c>
      <c r="CV25" s="3">
        <v>0</v>
      </c>
      <c r="CW25" s="3">
        <v>40</v>
      </c>
      <c r="CX25" s="3">
        <v>4</v>
      </c>
      <c r="CY25" s="8">
        <f t="shared" si="16"/>
        <v>222</v>
      </c>
      <c r="CZ25" s="3"/>
      <c r="DA25" s="3">
        <v>0</v>
      </c>
      <c r="DB25" s="3">
        <v>20</v>
      </c>
      <c r="DC25" s="3">
        <v>0</v>
      </c>
      <c r="DD25" s="3">
        <v>80</v>
      </c>
      <c r="DE25" s="3">
        <v>210</v>
      </c>
      <c r="DF25" s="8">
        <f t="shared" si="17"/>
        <v>310</v>
      </c>
      <c r="DG25" s="3">
        <v>138</v>
      </c>
      <c r="DH25" s="3">
        <v>96</v>
      </c>
      <c r="DI25" s="3">
        <v>58</v>
      </c>
      <c r="DJ25" s="3">
        <v>116</v>
      </c>
      <c r="DK25" s="3">
        <v>0</v>
      </c>
      <c r="DL25" s="8">
        <f t="shared" si="18"/>
        <v>408</v>
      </c>
      <c r="DM25" s="3"/>
      <c r="DN25" s="3">
        <v>21</v>
      </c>
      <c r="DO25" s="3">
        <v>86</v>
      </c>
      <c r="DP25" s="3">
        <v>56</v>
      </c>
      <c r="DQ25" s="3">
        <v>55</v>
      </c>
      <c r="DR25" s="3">
        <v>76</v>
      </c>
      <c r="DS25" s="8">
        <f t="shared" si="19"/>
        <v>294</v>
      </c>
      <c r="DT25" s="3">
        <v>87</v>
      </c>
      <c r="DU25" s="3">
        <v>9</v>
      </c>
      <c r="DV25" s="3">
        <v>57</v>
      </c>
      <c r="DW25" s="3">
        <v>52</v>
      </c>
      <c r="DX25" s="3">
        <v>4</v>
      </c>
      <c r="DY25" s="8">
        <f t="shared" si="20"/>
        <v>209</v>
      </c>
      <c r="DZ25" s="3"/>
      <c r="EA25" s="3">
        <v>0</v>
      </c>
      <c r="EB25" s="3">
        <v>0</v>
      </c>
      <c r="EC25" s="3">
        <v>1</v>
      </c>
      <c r="ED25" s="3">
        <v>2</v>
      </c>
      <c r="EE25" s="3">
        <v>2</v>
      </c>
      <c r="EF25" s="8">
        <f t="shared" si="21"/>
        <v>5</v>
      </c>
      <c r="EG25" s="3">
        <v>0</v>
      </c>
      <c r="EH25" s="3">
        <v>0</v>
      </c>
      <c r="EI25" s="3">
        <v>0</v>
      </c>
      <c r="EJ25" s="3">
        <v>0</v>
      </c>
      <c r="EK25" s="3">
        <v>15</v>
      </c>
      <c r="EL25" s="8">
        <f t="shared" si="22"/>
        <v>15</v>
      </c>
      <c r="EM25" s="3"/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8">
        <f t="shared" si="23"/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8">
        <f t="shared" si="24"/>
        <v>0</v>
      </c>
      <c r="EZ25" s="3"/>
      <c r="FA25" s="3">
        <v>15</v>
      </c>
      <c r="FB25" s="3">
        <v>0</v>
      </c>
      <c r="FC25" s="3">
        <v>28</v>
      </c>
      <c r="FD25" s="3">
        <v>15</v>
      </c>
      <c r="FE25" s="3">
        <v>12</v>
      </c>
      <c r="FF25" s="8">
        <f t="shared" si="25"/>
        <v>70</v>
      </c>
      <c r="FG25" s="3">
        <v>0</v>
      </c>
      <c r="FH25" s="3">
        <v>336</v>
      </c>
      <c r="FI25" s="3">
        <v>245</v>
      </c>
      <c r="FJ25" s="3">
        <v>12</v>
      </c>
      <c r="FK25" s="3">
        <v>16</v>
      </c>
      <c r="FL25" s="8">
        <f t="shared" si="26"/>
        <v>609</v>
      </c>
    </row>
    <row r="26" spans="1:168">
      <c r="A26" s="3" t="s">
        <v>55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8">
        <f t="shared" si="0"/>
        <v>0</v>
      </c>
      <c r="H26" s="3">
        <v>0</v>
      </c>
      <c r="I26" s="3">
        <v>0</v>
      </c>
      <c r="J26" s="3">
        <v>0</v>
      </c>
      <c r="K26" s="3">
        <v>0</v>
      </c>
      <c r="L26" s="8">
        <f t="shared" si="1"/>
        <v>0</v>
      </c>
      <c r="M26" s="3"/>
      <c r="N26" s="3">
        <v>0</v>
      </c>
      <c r="O26" s="3">
        <v>0</v>
      </c>
      <c r="P26" s="3">
        <v>0</v>
      </c>
      <c r="Q26" s="3">
        <v>0</v>
      </c>
      <c r="R26" s="3">
        <f t="shared" si="2"/>
        <v>0</v>
      </c>
      <c r="S26" s="8">
        <f t="shared" si="3"/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8">
        <f t="shared" si="4"/>
        <v>0</v>
      </c>
      <c r="Z26" s="3"/>
      <c r="AA26" s="3">
        <v>0</v>
      </c>
      <c r="AB26" s="3">
        <v>0</v>
      </c>
      <c r="AC26" s="3">
        <v>30</v>
      </c>
      <c r="AD26" s="3">
        <v>0</v>
      </c>
      <c r="AE26" s="3">
        <v>0</v>
      </c>
      <c r="AF26" s="8">
        <f t="shared" si="5"/>
        <v>30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8">
        <f t="shared" si="6"/>
        <v>0</v>
      </c>
      <c r="AM26" s="3"/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8">
        <f t="shared" si="7"/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8">
        <f t="shared" si="8"/>
        <v>0</v>
      </c>
      <c r="AZ26" s="3"/>
      <c r="BA26" s="3">
        <v>22</v>
      </c>
      <c r="BB26" s="3">
        <v>0</v>
      </c>
      <c r="BC26" s="3">
        <v>23</v>
      </c>
      <c r="BD26" s="3">
        <v>10</v>
      </c>
      <c r="BE26" s="3">
        <v>0</v>
      </c>
      <c r="BF26" s="8">
        <f t="shared" si="9"/>
        <v>55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8">
        <f t="shared" si="10"/>
        <v>0</v>
      </c>
      <c r="BM26" s="3"/>
      <c r="BN26" s="3">
        <v>0</v>
      </c>
      <c r="BO26" s="3">
        <v>21</v>
      </c>
      <c r="BP26" s="3">
        <v>44</v>
      </c>
      <c r="BQ26" s="3">
        <v>0</v>
      </c>
      <c r="BR26" s="3">
        <v>0</v>
      </c>
      <c r="BS26" s="8">
        <f t="shared" si="11"/>
        <v>65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8">
        <f t="shared" si="12"/>
        <v>0</v>
      </c>
      <c r="BZ26" s="3"/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8">
        <f t="shared" si="13"/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8">
        <f t="shared" si="14"/>
        <v>0</v>
      </c>
      <c r="CM26" s="3"/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8">
        <f t="shared" si="15"/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8">
        <f t="shared" si="16"/>
        <v>0</v>
      </c>
      <c r="CZ26" s="3"/>
      <c r="DA26" s="3">
        <v>54</v>
      </c>
      <c r="DB26" s="3">
        <v>0</v>
      </c>
      <c r="DC26" s="3">
        <v>0</v>
      </c>
      <c r="DD26" s="3">
        <v>0</v>
      </c>
      <c r="DE26" s="3">
        <v>0</v>
      </c>
      <c r="DF26" s="8">
        <f t="shared" si="17"/>
        <v>54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8">
        <f t="shared" si="18"/>
        <v>0</v>
      </c>
      <c r="DM26" s="3"/>
      <c r="DN26" s="3">
        <v>1</v>
      </c>
      <c r="DO26" s="3">
        <v>3</v>
      </c>
      <c r="DP26" s="3">
        <v>4</v>
      </c>
      <c r="DQ26" s="3">
        <v>1</v>
      </c>
      <c r="DR26" s="3">
        <v>0</v>
      </c>
      <c r="DS26" s="8">
        <f t="shared" si="19"/>
        <v>9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8">
        <f t="shared" si="20"/>
        <v>0</v>
      </c>
      <c r="DZ26" s="3"/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8">
        <f t="shared" si="21"/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8">
        <f t="shared" si="22"/>
        <v>0</v>
      </c>
      <c r="EM26" s="3"/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8">
        <f t="shared" si="23"/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8">
        <f t="shared" si="24"/>
        <v>0</v>
      </c>
      <c r="EZ26" s="3"/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8">
        <f t="shared" si="25"/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8">
        <f t="shared" si="26"/>
        <v>0</v>
      </c>
    </row>
    <row r="27" spans="1:168">
      <c r="A27" s="3" t="s">
        <v>56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8">
        <f t="shared" si="0"/>
        <v>0</v>
      </c>
      <c r="H27" s="3">
        <v>0</v>
      </c>
      <c r="I27" s="3">
        <v>0</v>
      </c>
      <c r="J27" s="3">
        <v>0</v>
      </c>
      <c r="K27" s="3">
        <v>0</v>
      </c>
      <c r="L27" s="8">
        <f t="shared" si="1"/>
        <v>0</v>
      </c>
      <c r="M27" s="3"/>
      <c r="N27" s="3">
        <v>0</v>
      </c>
      <c r="O27" s="3">
        <v>0</v>
      </c>
      <c r="P27" s="3">
        <v>0</v>
      </c>
      <c r="Q27" s="3">
        <v>0</v>
      </c>
      <c r="R27" s="3">
        <f t="shared" si="2"/>
        <v>0</v>
      </c>
      <c r="S27" s="8">
        <f t="shared" si="3"/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8">
        <f t="shared" si="4"/>
        <v>0</v>
      </c>
      <c r="Z27" s="3"/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8">
        <f t="shared" si="5"/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8">
        <f t="shared" si="6"/>
        <v>0</v>
      </c>
      <c r="AM27" s="3"/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8">
        <f t="shared" si="7"/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8">
        <f t="shared" si="8"/>
        <v>0</v>
      </c>
      <c r="AZ27" s="3"/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8">
        <f t="shared" si="9"/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8">
        <f t="shared" si="10"/>
        <v>0</v>
      </c>
      <c r="BM27" s="3"/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8">
        <f t="shared" si="11"/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8">
        <f t="shared" si="12"/>
        <v>0</v>
      </c>
      <c r="BZ27" s="3"/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8">
        <f t="shared" si="13"/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8">
        <f t="shared" si="14"/>
        <v>0</v>
      </c>
      <c r="CM27" s="3"/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8">
        <f t="shared" si="15"/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8">
        <f t="shared" si="16"/>
        <v>0</v>
      </c>
      <c r="CZ27" s="3"/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8">
        <f t="shared" si="17"/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8">
        <f t="shared" si="18"/>
        <v>0</v>
      </c>
      <c r="DM27" s="3"/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8">
        <f t="shared" si="19"/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8">
        <f t="shared" si="20"/>
        <v>0</v>
      </c>
      <c r="DZ27" s="3"/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8">
        <f t="shared" si="21"/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8">
        <f t="shared" si="22"/>
        <v>0</v>
      </c>
      <c r="EM27" s="3"/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8">
        <f t="shared" si="23"/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8">
        <f t="shared" si="24"/>
        <v>0</v>
      </c>
      <c r="EZ27" s="3"/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8">
        <f t="shared" si="25"/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8">
        <f t="shared" si="26"/>
        <v>0</v>
      </c>
    </row>
    <row r="28" spans="1:168">
      <c r="A28" s="3" t="s">
        <v>57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8">
        <f t="shared" si="0"/>
        <v>0</v>
      </c>
      <c r="H28" s="3">
        <v>0</v>
      </c>
      <c r="I28" s="3">
        <v>0</v>
      </c>
      <c r="J28" s="3">
        <v>0</v>
      </c>
      <c r="K28" s="3">
        <v>43</v>
      </c>
      <c r="L28" s="8">
        <f t="shared" si="1"/>
        <v>43</v>
      </c>
      <c r="M28" s="3"/>
      <c r="N28" s="3">
        <v>0</v>
      </c>
      <c r="O28" s="3">
        <v>75</v>
      </c>
      <c r="P28" s="3">
        <v>171</v>
      </c>
      <c r="Q28" s="3">
        <v>54</v>
      </c>
      <c r="R28" s="3">
        <f t="shared" si="2"/>
        <v>0</v>
      </c>
      <c r="S28" s="8">
        <f t="shared" si="3"/>
        <v>300</v>
      </c>
      <c r="T28" s="3">
        <v>84</v>
      </c>
      <c r="U28" s="3">
        <v>0</v>
      </c>
      <c r="V28" s="3">
        <v>0</v>
      </c>
      <c r="W28" s="3">
        <v>190</v>
      </c>
      <c r="X28" s="3">
        <v>0</v>
      </c>
      <c r="Y28" s="8">
        <f t="shared" si="4"/>
        <v>274</v>
      </c>
      <c r="Z28" s="3"/>
      <c r="AA28" s="3">
        <v>0</v>
      </c>
      <c r="AB28" s="3">
        <v>0</v>
      </c>
      <c r="AC28" s="3">
        <v>40</v>
      </c>
      <c r="AD28" s="3">
        <v>0</v>
      </c>
      <c r="AE28" s="3">
        <v>0</v>
      </c>
      <c r="AF28" s="8">
        <f t="shared" si="5"/>
        <v>40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8">
        <f t="shared" si="6"/>
        <v>0</v>
      </c>
      <c r="AM28" s="3"/>
      <c r="AN28" s="3">
        <v>0</v>
      </c>
      <c r="AO28" s="3">
        <v>132</v>
      </c>
      <c r="AP28" s="3">
        <v>0</v>
      </c>
      <c r="AQ28" s="3">
        <v>0</v>
      </c>
      <c r="AR28" s="3">
        <v>0</v>
      </c>
      <c r="AS28" s="8">
        <f t="shared" si="7"/>
        <v>132</v>
      </c>
      <c r="AT28" s="3">
        <v>180</v>
      </c>
      <c r="AU28" s="3">
        <v>0</v>
      </c>
      <c r="AV28" s="3">
        <v>0</v>
      </c>
      <c r="AW28" s="3">
        <v>396</v>
      </c>
      <c r="AX28" s="3">
        <v>0</v>
      </c>
      <c r="AY28" s="8">
        <f t="shared" si="8"/>
        <v>576</v>
      </c>
      <c r="AZ28" s="3"/>
      <c r="BA28" s="3">
        <v>85</v>
      </c>
      <c r="BB28" s="3">
        <v>44</v>
      </c>
      <c r="BC28" s="3">
        <v>63</v>
      </c>
      <c r="BD28" s="3">
        <v>62</v>
      </c>
      <c r="BE28" s="3">
        <v>41</v>
      </c>
      <c r="BF28" s="8">
        <f t="shared" si="9"/>
        <v>295</v>
      </c>
      <c r="BG28" s="3">
        <v>128</v>
      </c>
      <c r="BH28" s="3">
        <v>91</v>
      </c>
      <c r="BI28" s="3">
        <v>21</v>
      </c>
      <c r="BJ28" s="3">
        <v>10</v>
      </c>
      <c r="BK28" s="3">
        <v>45</v>
      </c>
      <c r="BL28" s="8">
        <f t="shared" si="10"/>
        <v>295</v>
      </c>
      <c r="BM28" s="3"/>
      <c r="BN28" s="3">
        <v>0</v>
      </c>
      <c r="BO28" s="3">
        <v>0</v>
      </c>
      <c r="BP28" s="3">
        <v>0</v>
      </c>
      <c r="BQ28" s="3">
        <v>162</v>
      </c>
      <c r="BR28" s="3">
        <v>0</v>
      </c>
      <c r="BS28" s="8">
        <f t="shared" si="11"/>
        <v>162</v>
      </c>
      <c r="BT28" s="3">
        <v>0</v>
      </c>
      <c r="BU28" s="3">
        <v>214</v>
      </c>
      <c r="BV28" s="3">
        <v>0</v>
      </c>
      <c r="BW28" s="3">
        <v>0</v>
      </c>
      <c r="BX28" s="3">
        <v>0</v>
      </c>
      <c r="BY28" s="8">
        <f t="shared" si="12"/>
        <v>214</v>
      </c>
      <c r="BZ28" s="3"/>
      <c r="CA28" s="3">
        <v>7</v>
      </c>
      <c r="CB28" s="3">
        <v>0</v>
      </c>
      <c r="CC28" s="3">
        <v>9</v>
      </c>
      <c r="CD28" s="3">
        <v>21</v>
      </c>
      <c r="CE28" s="3">
        <v>8</v>
      </c>
      <c r="CF28" s="8">
        <f t="shared" si="13"/>
        <v>45</v>
      </c>
      <c r="CG28" s="3">
        <v>11</v>
      </c>
      <c r="CH28" s="3">
        <v>0</v>
      </c>
      <c r="CI28" s="3">
        <v>0</v>
      </c>
      <c r="CJ28" s="3">
        <v>8</v>
      </c>
      <c r="CK28" s="3">
        <v>6</v>
      </c>
      <c r="CL28" s="8">
        <f t="shared" si="14"/>
        <v>25</v>
      </c>
      <c r="CM28" s="3"/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8">
        <f t="shared" si="15"/>
        <v>0</v>
      </c>
      <c r="CT28" s="3">
        <v>0</v>
      </c>
      <c r="CU28" s="3">
        <v>0</v>
      </c>
      <c r="CV28" s="3">
        <v>14</v>
      </c>
      <c r="CW28" s="3">
        <v>0</v>
      </c>
      <c r="CX28" s="3">
        <v>0</v>
      </c>
      <c r="CY28" s="8">
        <f t="shared" si="16"/>
        <v>14</v>
      </c>
      <c r="CZ28" s="3"/>
      <c r="DA28" s="3">
        <v>0</v>
      </c>
      <c r="DB28" s="3">
        <v>0</v>
      </c>
      <c r="DC28" s="3">
        <v>0</v>
      </c>
      <c r="DD28" s="3">
        <v>0</v>
      </c>
      <c r="DE28" s="3">
        <v>60</v>
      </c>
      <c r="DF28" s="8">
        <f t="shared" si="17"/>
        <v>60</v>
      </c>
      <c r="DG28" s="3">
        <v>0</v>
      </c>
      <c r="DH28" s="3">
        <v>0</v>
      </c>
      <c r="DI28" s="3">
        <v>0</v>
      </c>
      <c r="DJ28" s="3">
        <v>0</v>
      </c>
      <c r="DK28" s="3">
        <v>702</v>
      </c>
      <c r="DL28" s="8">
        <f t="shared" si="18"/>
        <v>702</v>
      </c>
      <c r="DM28" s="3"/>
      <c r="DN28" s="3">
        <v>66</v>
      </c>
      <c r="DO28" s="3">
        <v>39</v>
      </c>
      <c r="DP28" s="3">
        <v>48</v>
      </c>
      <c r="DQ28" s="3">
        <v>41</v>
      </c>
      <c r="DR28" s="3">
        <v>28</v>
      </c>
      <c r="DS28" s="8">
        <f t="shared" si="19"/>
        <v>222</v>
      </c>
      <c r="DT28" s="3">
        <v>2</v>
      </c>
      <c r="DU28" s="3">
        <v>9</v>
      </c>
      <c r="DV28" s="3">
        <v>0</v>
      </c>
      <c r="DW28" s="3">
        <v>1</v>
      </c>
      <c r="DX28" s="3">
        <v>24</v>
      </c>
      <c r="DY28" s="8">
        <f t="shared" si="20"/>
        <v>36</v>
      </c>
      <c r="DZ28" s="3"/>
      <c r="EA28" s="3">
        <v>9</v>
      </c>
      <c r="EB28" s="3">
        <v>5</v>
      </c>
      <c r="EC28" s="3">
        <v>13</v>
      </c>
      <c r="ED28" s="3">
        <v>10</v>
      </c>
      <c r="EE28" s="3">
        <v>9</v>
      </c>
      <c r="EF28" s="8">
        <f t="shared" si="21"/>
        <v>46</v>
      </c>
      <c r="EG28" s="3">
        <v>8</v>
      </c>
      <c r="EH28" s="3">
        <v>6</v>
      </c>
      <c r="EI28" s="3">
        <v>8</v>
      </c>
      <c r="EJ28" s="3">
        <v>7</v>
      </c>
      <c r="EK28" s="3">
        <v>26</v>
      </c>
      <c r="EL28" s="8">
        <f t="shared" si="22"/>
        <v>55</v>
      </c>
      <c r="EM28" s="3"/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8">
        <f t="shared" si="23"/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8">
        <f t="shared" si="24"/>
        <v>0</v>
      </c>
      <c r="EZ28" s="3"/>
      <c r="FA28" s="3">
        <v>4</v>
      </c>
      <c r="FB28" s="3">
        <v>0</v>
      </c>
      <c r="FC28" s="3">
        <v>0</v>
      </c>
      <c r="FD28" s="3">
        <v>0</v>
      </c>
      <c r="FE28" s="3">
        <v>1</v>
      </c>
      <c r="FF28" s="8">
        <f t="shared" si="25"/>
        <v>5</v>
      </c>
      <c r="FG28" s="3">
        <v>0</v>
      </c>
      <c r="FH28" s="3">
        <v>0</v>
      </c>
      <c r="FI28" s="3">
        <v>0</v>
      </c>
      <c r="FJ28" s="3">
        <v>1</v>
      </c>
      <c r="FK28" s="3">
        <v>8</v>
      </c>
      <c r="FL28" s="8">
        <f t="shared" si="26"/>
        <v>9</v>
      </c>
    </row>
    <row r="29" spans="1:168">
      <c r="A29" s="3" t="s">
        <v>58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8">
        <f t="shared" si="0"/>
        <v>0</v>
      </c>
      <c r="H29" s="3">
        <v>0</v>
      </c>
      <c r="I29" s="3">
        <v>470</v>
      </c>
      <c r="J29" s="3">
        <v>0</v>
      </c>
      <c r="K29" s="3">
        <v>0</v>
      </c>
      <c r="L29" s="8">
        <f t="shared" si="1"/>
        <v>470</v>
      </c>
      <c r="M29" s="3"/>
      <c r="N29" s="3">
        <v>109</v>
      </c>
      <c r="O29" s="3">
        <v>27</v>
      </c>
      <c r="P29" s="3">
        <v>0</v>
      </c>
      <c r="Q29" s="3">
        <v>69</v>
      </c>
      <c r="R29" s="3">
        <f t="shared" si="2"/>
        <v>0</v>
      </c>
      <c r="S29" s="8">
        <f t="shared" si="3"/>
        <v>205</v>
      </c>
      <c r="T29" s="3">
        <v>288</v>
      </c>
      <c r="U29" s="3">
        <v>76</v>
      </c>
      <c r="V29" s="3">
        <v>16</v>
      </c>
      <c r="W29" s="3">
        <v>0</v>
      </c>
      <c r="X29" s="3">
        <v>0</v>
      </c>
      <c r="Y29" s="8">
        <f t="shared" si="4"/>
        <v>380</v>
      </c>
      <c r="Z29" s="3"/>
      <c r="AA29" s="3">
        <v>34</v>
      </c>
      <c r="AB29" s="3">
        <v>0</v>
      </c>
      <c r="AC29" s="3">
        <v>76</v>
      </c>
      <c r="AD29" s="3">
        <v>50</v>
      </c>
      <c r="AE29" s="3">
        <v>50</v>
      </c>
      <c r="AF29" s="8">
        <f t="shared" si="5"/>
        <v>210</v>
      </c>
      <c r="AG29" s="3">
        <v>292</v>
      </c>
      <c r="AH29" s="3">
        <v>0</v>
      </c>
      <c r="AI29" s="3">
        <v>0</v>
      </c>
      <c r="AJ29" s="3">
        <v>0</v>
      </c>
      <c r="AK29" s="3">
        <v>0</v>
      </c>
      <c r="AL29" s="8">
        <f t="shared" si="6"/>
        <v>292</v>
      </c>
      <c r="AM29" s="3"/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8">
        <f t="shared" si="7"/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8">
        <f t="shared" si="8"/>
        <v>0</v>
      </c>
      <c r="AZ29" s="3"/>
      <c r="BA29" s="3">
        <v>74</v>
      </c>
      <c r="BB29" s="3">
        <v>71</v>
      </c>
      <c r="BC29" s="3">
        <v>31</v>
      </c>
      <c r="BD29" s="3">
        <v>21</v>
      </c>
      <c r="BE29" s="3">
        <v>34</v>
      </c>
      <c r="BF29" s="8">
        <f t="shared" si="9"/>
        <v>231</v>
      </c>
      <c r="BG29" s="3">
        <v>38</v>
      </c>
      <c r="BH29" s="3">
        <v>39</v>
      </c>
      <c r="BI29" s="3">
        <v>22</v>
      </c>
      <c r="BJ29" s="3">
        <v>17</v>
      </c>
      <c r="BK29" s="3">
        <v>20</v>
      </c>
      <c r="BL29" s="8">
        <f t="shared" si="10"/>
        <v>136</v>
      </c>
      <c r="BM29" s="3"/>
      <c r="BN29" s="3">
        <v>168</v>
      </c>
      <c r="BO29" s="3">
        <v>0</v>
      </c>
      <c r="BP29" s="3">
        <v>0</v>
      </c>
      <c r="BQ29" s="3">
        <v>87</v>
      </c>
      <c r="BR29" s="3">
        <v>0</v>
      </c>
      <c r="BS29" s="8">
        <f t="shared" si="11"/>
        <v>255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8">
        <f t="shared" si="12"/>
        <v>0</v>
      </c>
      <c r="BZ29" s="3"/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8">
        <f t="shared" si="13"/>
        <v>0</v>
      </c>
      <c r="CG29" s="3">
        <v>1</v>
      </c>
      <c r="CH29" s="3">
        <v>0</v>
      </c>
      <c r="CI29" s="3">
        <v>0</v>
      </c>
      <c r="CJ29" s="3">
        <v>0</v>
      </c>
      <c r="CK29" s="3">
        <v>0</v>
      </c>
      <c r="CL29" s="8">
        <f t="shared" si="14"/>
        <v>1</v>
      </c>
      <c r="CM29" s="3"/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8">
        <f t="shared" si="15"/>
        <v>0</v>
      </c>
      <c r="CT29" s="3">
        <v>5</v>
      </c>
      <c r="CU29" s="3">
        <v>0</v>
      </c>
      <c r="CV29" s="3">
        <v>0</v>
      </c>
      <c r="CW29" s="3">
        <v>0</v>
      </c>
      <c r="CX29" s="3">
        <v>0</v>
      </c>
      <c r="CY29" s="8">
        <f t="shared" si="16"/>
        <v>5</v>
      </c>
      <c r="CZ29" s="3"/>
      <c r="DA29" s="3">
        <v>0</v>
      </c>
      <c r="DB29" s="3">
        <v>0</v>
      </c>
      <c r="DC29" s="3">
        <v>0</v>
      </c>
      <c r="DD29" s="3">
        <v>45</v>
      </c>
      <c r="DE29" s="3">
        <v>0</v>
      </c>
      <c r="DF29" s="8">
        <f t="shared" si="17"/>
        <v>45</v>
      </c>
      <c r="DG29" s="3">
        <v>0</v>
      </c>
      <c r="DH29" s="3">
        <v>0</v>
      </c>
      <c r="DI29" s="3">
        <v>25</v>
      </c>
      <c r="DJ29" s="3">
        <v>0</v>
      </c>
      <c r="DK29" s="3">
        <v>0</v>
      </c>
      <c r="DL29" s="8">
        <f t="shared" si="18"/>
        <v>25</v>
      </c>
      <c r="DM29" s="3"/>
      <c r="DN29" s="3">
        <v>13</v>
      </c>
      <c r="DO29" s="3">
        <v>23</v>
      </c>
      <c r="DP29" s="3">
        <v>6</v>
      </c>
      <c r="DQ29" s="3">
        <v>28</v>
      </c>
      <c r="DR29" s="3">
        <v>26</v>
      </c>
      <c r="DS29" s="8">
        <f t="shared" si="19"/>
        <v>96</v>
      </c>
      <c r="DT29" s="3">
        <v>7</v>
      </c>
      <c r="DU29" s="3">
        <v>34</v>
      </c>
      <c r="DV29" s="3">
        <v>6</v>
      </c>
      <c r="DW29" s="3">
        <v>28</v>
      </c>
      <c r="DX29" s="3">
        <v>3</v>
      </c>
      <c r="DY29" s="8">
        <f t="shared" si="20"/>
        <v>78</v>
      </c>
      <c r="DZ29" s="3"/>
      <c r="EA29" s="3">
        <v>0</v>
      </c>
      <c r="EB29" s="3">
        <v>0</v>
      </c>
      <c r="EC29" s="3">
        <v>0</v>
      </c>
      <c r="ED29" s="3">
        <v>0</v>
      </c>
      <c r="EE29" s="3">
        <v>2</v>
      </c>
      <c r="EF29" s="8">
        <f t="shared" si="21"/>
        <v>2</v>
      </c>
      <c r="EG29" s="3">
        <v>0</v>
      </c>
      <c r="EH29" s="3">
        <v>16</v>
      </c>
      <c r="EI29" s="3">
        <v>0</v>
      </c>
      <c r="EJ29" s="3">
        <v>0</v>
      </c>
      <c r="EK29" s="3">
        <v>0</v>
      </c>
      <c r="EL29" s="8">
        <f t="shared" si="22"/>
        <v>16</v>
      </c>
      <c r="EM29" s="3"/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8">
        <f t="shared" si="23"/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8">
        <f t="shared" si="24"/>
        <v>0</v>
      </c>
      <c r="EZ29" s="3"/>
      <c r="FA29" s="3">
        <v>0</v>
      </c>
      <c r="FB29" s="3">
        <v>2</v>
      </c>
      <c r="FC29" s="3">
        <v>3</v>
      </c>
      <c r="FD29" s="3">
        <v>1</v>
      </c>
      <c r="FE29" s="3">
        <v>0</v>
      </c>
      <c r="FF29" s="8">
        <f t="shared" si="25"/>
        <v>6</v>
      </c>
      <c r="FG29" s="3">
        <v>10</v>
      </c>
      <c r="FH29" s="3">
        <v>0</v>
      </c>
      <c r="FI29" s="3">
        <v>0</v>
      </c>
      <c r="FJ29" s="3">
        <v>8</v>
      </c>
      <c r="FK29" s="3">
        <v>0</v>
      </c>
      <c r="FL29" s="8">
        <f t="shared" si="26"/>
        <v>18</v>
      </c>
    </row>
    <row r="30" spans="1:168">
      <c r="A30" s="3" t="s">
        <v>59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8">
        <f t="shared" si="0"/>
        <v>0</v>
      </c>
      <c r="H30" s="3">
        <v>0</v>
      </c>
      <c r="I30" s="3">
        <v>0</v>
      </c>
      <c r="J30" s="3">
        <v>0</v>
      </c>
      <c r="K30" s="3">
        <v>0</v>
      </c>
      <c r="L30" s="8">
        <f t="shared" si="1"/>
        <v>0</v>
      </c>
      <c r="M30" s="3"/>
      <c r="N30" s="3">
        <v>0</v>
      </c>
      <c r="O30" s="3">
        <v>0</v>
      </c>
      <c r="P30" s="3">
        <v>0</v>
      </c>
      <c r="Q30" s="3">
        <v>0</v>
      </c>
      <c r="R30" s="3">
        <f t="shared" si="2"/>
        <v>0</v>
      </c>
      <c r="S30" s="8">
        <f t="shared" si="3"/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8">
        <f t="shared" si="4"/>
        <v>0</v>
      </c>
      <c r="Z30" s="3"/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8">
        <f t="shared" si="5"/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8">
        <f t="shared" si="6"/>
        <v>0</v>
      </c>
      <c r="AM30" s="3"/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8">
        <f t="shared" si="7"/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8">
        <f t="shared" si="8"/>
        <v>0</v>
      </c>
      <c r="AZ30" s="3"/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8">
        <f t="shared" si="9"/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8">
        <f t="shared" si="10"/>
        <v>0</v>
      </c>
      <c r="BM30" s="3"/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8">
        <f t="shared" si="11"/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8">
        <f t="shared" si="12"/>
        <v>0</v>
      </c>
      <c r="BZ30" s="3"/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8">
        <f t="shared" si="13"/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8">
        <f t="shared" si="14"/>
        <v>0</v>
      </c>
      <c r="CM30" s="3"/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8">
        <f t="shared" si="15"/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8">
        <f t="shared" si="16"/>
        <v>0</v>
      </c>
      <c r="CZ30" s="3"/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8">
        <f t="shared" si="17"/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8">
        <f t="shared" si="18"/>
        <v>0</v>
      </c>
      <c r="DM30" s="3"/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8">
        <f t="shared" si="19"/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8">
        <f t="shared" si="20"/>
        <v>0</v>
      </c>
      <c r="DZ30" s="3"/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8">
        <f t="shared" si="21"/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8">
        <f t="shared" si="22"/>
        <v>0</v>
      </c>
      <c r="EM30" s="3"/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8">
        <f t="shared" si="23"/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8">
        <f t="shared" si="24"/>
        <v>0</v>
      </c>
      <c r="EZ30" s="3"/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8">
        <f t="shared" si="25"/>
        <v>0</v>
      </c>
      <c r="FG30" s="3">
        <v>0</v>
      </c>
      <c r="FH30" s="3">
        <v>0</v>
      </c>
      <c r="FI30" s="3">
        <v>0</v>
      </c>
      <c r="FJ30" s="3">
        <v>2</v>
      </c>
      <c r="FK30" s="3">
        <v>0</v>
      </c>
      <c r="FL30" s="8">
        <f t="shared" si="26"/>
        <v>2</v>
      </c>
    </row>
    <row r="31" spans="1:168" ht="15.75">
      <c r="A31" s="9" t="s">
        <v>60</v>
      </c>
      <c r="B31" s="9">
        <v>511</v>
      </c>
      <c r="C31" s="9">
        <v>164</v>
      </c>
      <c r="D31" s="9">
        <v>733</v>
      </c>
      <c r="E31" s="9">
        <v>254</v>
      </c>
      <c r="F31" s="9">
        <v>596</v>
      </c>
      <c r="G31" s="9">
        <f t="shared" si="0"/>
        <v>2258</v>
      </c>
      <c r="H31" s="9">
        <v>336</v>
      </c>
      <c r="I31" s="9">
        <v>588</v>
      </c>
      <c r="J31" s="9">
        <v>201</v>
      </c>
      <c r="K31" s="9">
        <v>401</v>
      </c>
      <c r="L31" s="9">
        <f t="shared" si="1"/>
        <v>1526</v>
      </c>
      <c r="M31" s="9"/>
      <c r="N31" s="9">
        <v>234</v>
      </c>
      <c r="O31" s="9">
        <v>353</v>
      </c>
      <c r="P31" s="9">
        <v>289</v>
      </c>
      <c r="Q31" s="9">
        <v>359</v>
      </c>
      <c r="R31" s="9">
        <f t="shared" si="2"/>
        <v>0</v>
      </c>
      <c r="S31" s="9">
        <f t="shared" si="3"/>
        <v>1235</v>
      </c>
      <c r="T31" s="9">
        <v>622</v>
      </c>
      <c r="U31" s="9">
        <v>259</v>
      </c>
      <c r="V31" s="9">
        <v>16</v>
      </c>
      <c r="W31" s="9">
        <v>341</v>
      </c>
      <c r="X31" s="9">
        <v>179</v>
      </c>
      <c r="Y31" s="9">
        <f t="shared" si="4"/>
        <v>1417</v>
      </c>
      <c r="Z31" s="9"/>
      <c r="AA31" s="9">
        <v>486</v>
      </c>
      <c r="AB31" s="9">
        <v>31</v>
      </c>
      <c r="AC31" s="9">
        <v>210</v>
      </c>
      <c r="AD31" s="9">
        <v>265</v>
      </c>
      <c r="AE31" s="9">
        <v>472</v>
      </c>
      <c r="AF31" s="9">
        <f t="shared" si="5"/>
        <v>1464</v>
      </c>
      <c r="AG31" s="9">
        <v>436</v>
      </c>
      <c r="AH31" s="9">
        <v>201</v>
      </c>
      <c r="AI31" s="9">
        <v>306</v>
      </c>
      <c r="AJ31" s="9">
        <v>251</v>
      </c>
      <c r="AK31" s="9">
        <v>540</v>
      </c>
      <c r="AL31" s="9">
        <f t="shared" si="6"/>
        <v>1734</v>
      </c>
      <c r="AM31" s="9"/>
      <c r="AN31" s="9">
        <v>0</v>
      </c>
      <c r="AO31" s="9">
        <v>464</v>
      </c>
      <c r="AP31" s="9">
        <v>0</v>
      </c>
      <c r="AQ31" s="9">
        <v>0</v>
      </c>
      <c r="AR31" s="9">
        <v>0</v>
      </c>
      <c r="AS31" s="9">
        <f t="shared" si="7"/>
        <v>464</v>
      </c>
      <c r="AT31" s="9">
        <v>330</v>
      </c>
      <c r="AU31" s="9">
        <v>0</v>
      </c>
      <c r="AV31" s="9">
        <v>0</v>
      </c>
      <c r="AW31" s="9">
        <v>396</v>
      </c>
      <c r="AX31" s="9">
        <v>0</v>
      </c>
      <c r="AY31" s="9">
        <f t="shared" si="8"/>
        <v>726</v>
      </c>
      <c r="AZ31" s="9"/>
      <c r="BA31" s="9">
        <v>408</v>
      </c>
      <c r="BB31" s="9">
        <v>300</v>
      </c>
      <c r="BC31" s="9">
        <v>371</v>
      </c>
      <c r="BD31" s="9">
        <v>412</v>
      </c>
      <c r="BE31" s="9">
        <v>379</v>
      </c>
      <c r="BF31" s="9">
        <f t="shared" si="9"/>
        <v>1870</v>
      </c>
      <c r="BG31" s="9">
        <v>473</v>
      </c>
      <c r="BH31" s="9">
        <v>489</v>
      </c>
      <c r="BI31" s="9">
        <v>127</v>
      </c>
      <c r="BJ31" s="9">
        <v>397</v>
      </c>
      <c r="BK31" s="9">
        <v>236</v>
      </c>
      <c r="BL31" s="9">
        <f t="shared" si="10"/>
        <v>1722</v>
      </c>
      <c r="BM31" s="9"/>
      <c r="BN31" s="9">
        <v>1557</v>
      </c>
      <c r="BO31" s="9">
        <v>504</v>
      </c>
      <c r="BP31" s="9">
        <v>1403</v>
      </c>
      <c r="BQ31" s="9">
        <v>1193</v>
      </c>
      <c r="BR31" s="9">
        <v>891</v>
      </c>
      <c r="BS31" s="9">
        <f t="shared" si="11"/>
        <v>5548</v>
      </c>
      <c r="BT31" s="9">
        <v>3955</v>
      </c>
      <c r="BU31" s="9">
        <v>2421</v>
      </c>
      <c r="BV31" s="9">
        <v>1288</v>
      </c>
      <c r="BW31" s="9">
        <v>0</v>
      </c>
      <c r="BX31" s="9">
        <v>278</v>
      </c>
      <c r="BY31" s="9">
        <f t="shared" si="12"/>
        <v>7942</v>
      </c>
      <c r="BZ31" s="9"/>
      <c r="CA31" s="9">
        <v>49</v>
      </c>
      <c r="CB31" s="9">
        <v>53</v>
      </c>
      <c r="CC31" s="9">
        <v>119</v>
      </c>
      <c r="CD31" s="9">
        <v>55</v>
      </c>
      <c r="CE31" s="9">
        <v>61</v>
      </c>
      <c r="CF31" s="9">
        <f t="shared" si="13"/>
        <v>337</v>
      </c>
      <c r="CG31" s="9">
        <v>71</v>
      </c>
      <c r="CH31" s="9">
        <v>67</v>
      </c>
      <c r="CI31" s="9">
        <v>43</v>
      </c>
      <c r="CJ31" s="9">
        <v>58</v>
      </c>
      <c r="CK31" s="9">
        <v>59</v>
      </c>
      <c r="CL31" s="9">
        <f t="shared" si="14"/>
        <v>298</v>
      </c>
      <c r="CM31" s="9"/>
      <c r="CN31" s="9">
        <v>247</v>
      </c>
      <c r="CO31" s="9">
        <v>272</v>
      </c>
      <c r="CP31" s="9">
        <v>158</v>
      </c>
      <c r="CQ31" s="9">
        <v>313</v>
      </c>
      <c r="CR31" s="9">
        <v>119</v>
      </c>
      <c r="CS31" s="9">
        <f t="shared" si="15"/>
        <v>1109</v>
      </c>
      <c r="CT31" s="9">
        <v>324</v>
      </c>
      <c r="CU31" s="9">
        <v>42</v>
      </c>
      <c r="CV31" s="9">
        <v>166</v>
      </c>
      <c r="CW31" s="9">
        <v>193</v>
      </c>
      <c r="CX31" s="9">
        <v>113</v>
      </c>
      <c r="CY31" s="9">
        <f t="shared" si="16"/>
        <v>838</v>
      </c>
      <c r="CZ31" s="9"/>
      <c r="DA31" s="9">
        <v>305</v>
      </c>
      <c r="DB31" s="9">
        <v>977</v>
      </c>
      <c r="DC31" s="9">
        <v>784</v>
      </c>
      <c r="DD31" s="9">
        <v>1068</v>
      </c>
      <c r="DE31" s="9">
        <v>1130</v>
      </c>
      <c r="DF31" s="9">
        <f t="shared" si="17"/>
        <v>4264</v>
      </c>
      <c r="DG31" s="9">
        <v>997</v>
      </c>
      <c r="DH31" s="9">
        <v>288</v>
      </c>
      <c r="DI31" s="9">
        <v>648</v>
      </c>
      <c r="DJ31" s="9">
        <v>1112</v>
      </c>
      <c r="DK31" s="9">
        <v>1060</v>
      </c>
      <c r="DL31" s="9">
        <f t="shared" si="18"/>
        <v>4105</v>
      </c>
      <c r="DM31" s="9"/>
      <c r="DN31" s="9">
        <v>750</v>
      </c>
      <c r="DO31" s="9">
        <v>796</v>
      </c>
      <c r="DP31" s="9">
        <v>779</v>
      </c>
      <c r="DQ31" s="9">
        <v>764</v>
      </c>
      <c r="DR31" s="9">
        <v>635</v>
      </c>
      <c r="DS31" s="9">
        <f t="shared" si="19"/>
        <v>3724</v>
      </c>
      <c r="DT31" s="9">
        <v>699</v>
      </c>
      <c r="DU31" s="9">
        <v>1155</v>
      </c>
      <c r="DV31" s="9">
        <v>277</v>
      </c>
      <c r="DW31" s="9">
        <v>948</v>
      </c>
      <c r="DX31" s="9">
        <v>524</v>
      </c>
      <c r="DY31" s="9">
        <f t="shared" si="20"/>
        <v>3603</v>
      </c>
      <c r="DZ31" s="9"/>
      <c r="EA31" s="9">
        <v>93</v>
      </c>
      <c r="EB31" s="9">
        <v>85</v>
      </c>
      <c r="EC31" s="9">
        <v>28</v>
      </c>
      <c r="ED31" s="9">
        <v>44</v>
      </c>
      <c r="EE31" s="9">
        <v>118</v>
      </c>
      <c r="EF31" s="9">
        <f t="shared" si="21"/>
        <v>368</v>
      </c>
      <c r="EG31" s="9">
        <v>60</v>
      </c>
      <c r="EH31" s="9">
        <v>70</v>
      </c>
      <c r="EI31" s="9">
        <v>41</v>
      </c>
      <c r="EJ31" s="9">
        <v>62</v>
      </c>
      <c r="EK31" s="9">
        <v>70</v>
      </c>
      <c r="EL31" s="9">
        <f t="shared" si="22"/>
        <v>303</v>
      </c>
      <c r="EM31" s="9"/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f t="shared" si="23"/>
        <v>0</v>
      </c>
      <c r="ET31" s="9">
        <v>598</v>
      </c>
      <c r="EU31" s="9">
        <v>0</v>
      </c>
      <c r="EV31" s="9">
        <v>0</v>
      </c>
      <c r="EW31" s="9">
        <v>599</v>
      </c>
      <c r="EX31" s="9">
        <v>0</v>
      </c>
      <c r="EY31" s="9">
        <f t="shared" si="24"/>
        <v>1197</v>
      </c>
      <c r="EZ31" s="9"/>
      <c r="FA31" s="9">
        <v>47</v>
      </c>
      <c r="FB31" s="9">
        <v>152</v>
      </c>
      <c r="FC31" s="9">
        <v>289</v>
      </c>
      <c r="FD31" s="9">
        <v>79</v>
      </c>
      <c r="FE31" s="9">
        <v>151</v>
      </c>
      <c r="FF31" s="9">
        <f t="shared" si="25"/>
        <v>718</v>
      </c>
      <c r="FG31" s="9">
        <v>64</v>
      </c>
      <c r="FH31" s="9">
        <v>387</v>
      </c>
      <c r="FI31" s="9">
        <v>317</v>
      </c>
      <c r="FJ31" s="9">
        <v>60</v>
      </c>
      <c r="FK31" s="9">
        <v>38</v>
      </c>
      <c r="FL31" s="9">
        <f t="shared" si="26"/>
        <v>866</v>
      </c>
    </row>
  </sheetData>
  <mergeCells count="23">
    <mergeCell ref="FA4:FL4"/>
    <mergeCell ref="CA4:CL4"/>
    <mergeCell ref="CN4:CY4"/>
    <mergeCell ref="DA4:DL4"/>
    <mergeCell ref="DN4:DY4"/>
    <mergeCell ref="EA4:EL4"/>
    <mergeCell ref="EN4:EY4"/>
    <mergeCell ref="B4:L4"/>
    <mergeCell ref="N4:Y4"/>
    <mergeCell ref="AA4:AL4"/>
    <mergeCell ref="AN4:AY4"/>
    <mergeCell ref="BA4:BL4"/>
    <mergeCell ref="BN4:BY4"/>
    <mergeCell ref="A1:FL1"/>
    <mergeCell ref="A2:FL2"/>
    <mergeCell ref="B3:AY3"/>
    <mergeCell ref="BA3:BL3"/>
    <mergeCell ref="BN3:BY3"/>
    <mergeCell ref="CA3:CL3"/>
    <mergeCell ref="CN3:CY3"/>
    <mergeCell ref="DA3:DL3"/>
    <mergeCell ref="DN3:EY3"/>
    <mergeCell ref="FA3:F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madan.hs</dc:creator>
  <cp:lastModifiedBy>madan.hs</cp:lastModifiedBy>
  <dcterms:created xsi:type="dcterms:W3CDTF">2026-09-02T08:33:56Z</dcterms:created>
  <dcterms:modified xsi:type="dcterms:W3CDTF">2026-09-02T08:50:15Z</dcterms:modified>
</cp:coreProperties>
</file>